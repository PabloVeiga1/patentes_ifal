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tativo de PI" sheetId="1" r:id="rId4"/>
    <sheet state="visible" name="2026" sheetId="2" r:id="rId5"/>
    <sheet state="visible" name="2025" sheetId="3" r:id="rId6"/>
    <sheet state="visible" name="2024" sheetId="4" r:id="rId7"/>
    <sheet state="visible" name="2023" sheetId="5" r:id="rId8"/>
    <sheet state="visible" name="2022" sheetId="6" r:id="rId9"/>
    <sheet state="visible" name="2021" sheetId="7" r:id="rId10"/>
    <sheet state="visible" name="2020" sheetId="8" r:id="rId11"/>
    <sheet state="visible" name="2019" sheetId="9" r:id="rId12"/>
    <sheet state="visible" name="2018" sheetId="10" r:id="rId13"/>
    <sheet state="visible" name="2017" sheetId="11" r:id="rId14"/>
    <sheet state="visible" name="2016" sheetId="12" r:id="rId15"/>
    <sheet state="visible" name="2015" sheetId="13" r:id="rId16"/>
    <sheet state="hidden" name="Unificado" sheetId="14" r:id="rId17"/>
    <sheet state="hidden" name="Sheet10" sheetId="15" r:id="rId18"/>
  </sheets>
  <definedNames>
    <definedName name="status">#REF!</definedName>
  </definedNames>
  <calcPr/>
</workbook>
</file>

<file path=xl/sharedStrings.xml><?xml version="1.0" encoding="utf-8"?>
<sst xmlns="http://schemas.openxmlformats.org/spreadsheetml/2006/main" count="2012" uniqueCount="868">
  <si>
    <t xml:space="preserve">
Instituto Federal de Alagoas - IFAL
Pró-Reitoria de Pesquisa, Pós-Graduação e Inovação - PRPPI
Diretoria de Pesquisa e Inovação
Coordenação do Núcleo de Inovação Tecnológica
</t>
  </si>
  <si>
    <t>Controle Geral de Titularidades e Cotitularidades de PI (Atualizado em Abril de 2026)</t>
  </si>
  <si>
    <t>PI</t>
  </si>
  <si>
    <t>AÇÃO</t>
  </si>
  <si>
    <t>TOTAL</t>
  </si>
  <si>
    <t>PATENTE</t>
  </si>
  <si>
    <t>DEPÓSITO</t>
  </si>
  <si>
    <t>-</t>
  </si>
  <si>
    <t>CONCESSÕES</t>
  </si>
  <si>
    <t>PROGRAMA DE COMPUTADOR</t>
  </si>
  <si>
    <t>DESENHO INDUSTRIAL</t>
  </si>
  <si>
    <t>Solicitações — 2026</t>
  </si>
  <si>
    <t>Patentes depositadas + Registros de Desenho Industrial concedidos + Registros de Programa de Computador concedidos</t>
  </si>
  <si>
    <t>Pedidos de Patentes</t>
  </si>
  <si>
    <t>Solicitações — 2025</t>
  </si>
  <si>
    <t>Nº</t>
  </si>
  <si>
    <t>Projeto</t>
  </si>
  <si>
    <t>Orientador</t>
  </si>
  <si>
    <t>Campus</t>
  </si>
  <si>
    <t>E-mail</t>
  </si>
  <si>
    <t>Status</t>
  </si>
  <si>
    <t>Ano de concessão</t>
  </si>
  <si>
    <t>Solicitações — 2024</t>
  </si>
  <si>
    <t>QUANTITATIVO DE PI´s POR CAMPI</t>
  </si>
  <si>
    <t>Processo INPI</t>
  </si>
  <si>
    <t>Processo no Sipac</t>
  </si>
  <si>
    <t>Argamassa de assentamento com substituição parcial do agregado miúdo por biomassa de Egeria densa</t>
  </si>
  <si>
    <t>Balas de goma utilizando produtos apícolas</t>
  </si>
  <si>
    <t>CAMPI</t>
  </si>
  <si>
    <t>PROFª DENISE</t>
  </si>
  <si>
    <t>Ronny Francisco Marques de Souza; Eliédson Rafael de Carvalho; Johnnatan Duarte de Freitas; Maria Simone Correia da Silva; Eduardo Victor Santos Da Silva; Brenno Ferreira Cavalcante,</t>
  </si>
  <si>
    <t>Piranhas</t>
  </si>
  <si>
    <t>denise.araujo@ifal,edu.br</t>
  </si>
  <si>
    <t>CATEGORIA</t>
  </si>
  <si>
    <t>DEPÓSITO / CONCESSÃO</t>
  </si>
  <si>
    <t>Acompanhamento na revista</t>
  </si>
  <si>
    <t>BR 10 2025 028911 3</t>
  </si>
  <si>
    <t>johnnatan.duarte@ifal.edu.br</t>
  </si>
  <si>
    <t>23041.045597/2025-05</t>
  </si>
  <si>
    <t>MACEIÓ</t>
  </si>
  <si>
    <t>Aproveitamento de pó de vidro proveniente de garrafas pós-consumo para produção de ladrilho hidráulico piso tátil</t>
  </si>
  <si>
    <t>SHEILA KAROLINE</t>
  </si>
  <si>
    <t>Potenciostato para Análises Eletroquímicas</t>
  </si>
  <si>
    <t>Marechal Deodoro</t>
  </si>
  <si>
    <r>
      <rPr>
        <rFont val="Arial"/>
        <color rgb="FF000000"/>
        <sz val="11.0"/>
        <u/>
      </rPr>
      <t>sheyla.marques@ifal.edu.br</t>
    </r>
  </si>
  <si>
    <t>Rodrigues Lima; Francisco de Assis dos Santos Silva; Cleylton Bezerra Lopes</t>
  </si>
  <si>
    <t>Maceió</t>
  </si>
  <si>
    <t>BR 10 2026 008184 1</t>
  </si>
  <si>
    <t xml:space="preserve"> 23041.021472/2024-09</t>
  </si>
  <si>
    <t>Utilização do pó de casca de sururu na revelação de impressões digitais latentes</t>
  </si>
  <si>
    <t>Ashley Sabrina Lopes Santos; Jéssica Higino de Souza; Maria Eduarda Ramos Malaquias; Rosanny Christhinny da Silva; Fred Augusto Ribeiro Nogueira</t>
  </si>
  <si>
    <t>BR 10 2025 027083 8</t>
  </si>
  <si>
    <t>23041.027409/2025-59</t>
  </si>
  <si>
    <t>Tijolo Sustentável ( Feito De Plástico Reciclado Para Utilização Na Construção Civil)</t>
  </si>
  <si>
    <r>
      <rPr>
        <rFont val="Arial"/>
        <color rgb="FF000000"/>
        <sz val="11.0"/>
        <u/>
      </rPr>
      <t>fred.nogueira@ifal.edu.br</t>
    </r>
  </si>
  <si>
    <t>ELISANGELA SANTOS</t>
  </si>
  <si>
    <t>Penedo</t>
  </si>
  <si>
    <r>
      <rPr>
        <rFont val="&quot;Google Sans Text&quot;"/>
        <color rgb="FF1155CC"/>
        <u/>
      </rPr>
      <t>charles.lucena@ifal.edu.br</t>
    </r>
  </si>
  <si>
    <r>
      <rPr>
        <rFont val="Arial"/>
        <color rgb="FF000000"/>
        <sz val="11.0"/>
        <u/>
      </rPr>
      <t>elisangela.santos@ifal.edu.br</t>
    </r>
  </si>
  <si>
    <t>BR 10 2025 016309 8</t>
  </si>
  <si>
    <t>23041.027058/2025-86</t>
  </si>
  <si>
    <t>BR 10 2026 000801 0</t>
  </si>
  <si>
    <t>Somos COTitular</t>
  </si>
  <si>
    <t>23041.037452/2025-22</t>
  </si>
  <si>
    <t>Bioplástico inteligente de caroço de abacate e antocianina da casca da uva</t>
  </si>
  <si>
    <t>Beatriz Nascimento Ribeiro; Maria Sabrina Amaro da Silva; João Gabriel Gomes Otacílio; Vívia Heloísa Brito de Souza; Vívia Heloísa Brito de Souza; Antônia Angelica Correia de Araújo; Natalia Miranda do Nascimento; Nataly Miranda do Nascimento</t>
  </si>
  <si>
    <t>Murici</t>
  </si>
  <si>
    <r>
      <rPr>
        <rFont val="Arial"/>
        <color rgb="FF000000"/>
        <sz val="11.0"/>
        <u/>
      </rPr>
      <t>nataly.nascimento@ifal.edu.br</t>
    </r>
  </si>
  <si>
    <t xml:space="preserve">— </t>
  </si>
  <si>
    <t>Cotitularidade</t>
  </si>
  <si>
    <t>BR 10 2026 001316 1</t>
  </si>
  <si>
    <t>23041.038738/2025-25</t>
  </si>
  <si>
    <t>Bioplástico de amido de semente de jaca e própolis vermelha de Alagoas para conservação de alimentos</t>
  </si>
  <si>
    <t>Rebeca Ferreira da Silva; Letícia Vicente da Silva; Eduardo Jorge da Silva Fonseca; Geovana Dresch Weble; Nataly Miranda do Nascimento</t>
  </si>
  <si>
    <t>BR 10 2025 017759 5</t>
  </si>
  <si>
    <r>
      <rPr>
        <rFont val="Arial"/>
        <color rgb="FF000000"/>
        <sz val="11.0"/>
        <u/>
      </rPr>
      <t>nataly.nascimento@ifal.edu.br</t>
    </r>
  </si>
  <si>
    <t>SomosCOTitular</t>
  </si>
  <si>
    <t>BR 10 2026 001353 6</t>
  </si>
  <si>
    <t>23041.045399/2025-33</t>
  </si>
  <si>
    <t>Metodologia otimizada para a extração e especiação de cromo em sedimentos superficiais através do uso do bloco digestor</t>
  </si>
  <si>
    <t>Elisangela Costa Santos; Juci Alana Santos Silva; Maria Witórya Silva dos Santos</t>
  </si>
  <si>
    <r>
      <rPr>
        <rFont val="Arial"/>
        <color rgb="FF000000"/>
        <sz val="11.0"/>
        <u/>
      </rPr>
      <t>elisangela.santos@ifal.edu.br</t>
    </r>
  </si>
  <si>
    <t xml:space="preserve">BR 10 2024 001900 8	</t>
  </si>
  <si>
    <t xml:space="preserve">Argamassa De Assentamento Com Substituição Parcial Do Agregado Miúdo Por Conchas Trituradas De Limnoperna fortunei </t>
  </si>
  <si>
    <t>Ronny Francisco Marques de Souza; Sheyla Karolina Justino Marques; Dara Liandra Lira Pinto; Dara Liandra Lira Pinto; Fabrícia Moreira da Silva</t>
  </si>
  <si>
    <t>23041.043564/2023-51</t>
  </si>
  <si>
    <r>
      <rPr>
        <rFont val="Arial"/>
        <color rgb="FF000000"/>
        <sz val="11.0"/>
        <u/>
      </rPr>
      <t>sheyla.marques@ifal.edu.br</t>
    </r>
  </si>
  <si>
    <t>BR 10 2025 016308 0</t>
  </si>
  <si>
    <t>23041.032856/2024-49</t>
  </si>
  <si>
    <t>Iogurte batido sabor manga reduzido de açúcar e enriquecido com açafrão</t>
  </si>
  <si>
    <t>Silvania Alves Ladeira; Juliano Silva Lima; Adriel Silva Barros; Ana Carolina Rodrigues de Araújo; Mario Jirlanio Guilherme Santos; Roberta Barbosa Teodoro Alves</t>
  </si>
  <si>
    <t>BR 10 2026 000498 7</t>
  </si>
  <si>
    <t>23041.039248/2025-46</t>
  </si>
  <si>
    <t>Caracterização orgânica do mel</t>
  </si>
  <si>
    <t>Doriedson Silva Santos Junior; David Antônio Menezes dos Santos; Elisangela Costa Santos</t>
  </si>
  <si>
    <r>
      <rPr>
        <rFont val="&quot;Google Sans Text&quot;"/>
        <color rgb="FF1155CC"/>
        <u/>
      </rPr>
      <t>roberta.alves@ifal.edu.br</t>
    </r>
  </si>
  <si>
    <r>
      <rPr>
        <rFont val="Arial"/>
        <color rgb="FF000000"/>
        <sz val="11.0"/>
        <u/>
      </rPr>
      <t>elisangela.santos@ifal.edu.br</t>
    </r>
  </si>
  <si>
    <t>BR 10 2026 000619 0</t>
  </si>
  <si>
    <t>23041.046607/2025-11</t>
  </si>
  <si>
    <t>Extração de fósforo em sedimentos superficiais por meio de bloco digestor</t>
  </si>
  <si>
    <t>Juci Alana Santos Silva; Doriedson Silva Santos Junior; Elisangela Costa Santos</t>
  </si>
  <si>
    <r>
      <rPr>
        <rFont val="Arial"/>
        <color rgb="FF000000"/>
        <sz val="11.0"/>
        <u/>
      </rPr>
      <t>elisangela.santos@ifal.edu.br</t>
    </r>
  </si>
  <si>
    <t>BR 10 2024 023293 3</t>
  </si>
  <si>
    <t>23041.030851/2024-81</t>
  </si>
  <si>
    <t>Análise das Características e Propriedades do Plástico Reforçado com Fibra de Vidro e Lodo de Estação de Tratamento de Água na Produção de Cerâmicas Porosas</t>
  </si>
  <si>
    <t>Sheyla Karolina Justino Marques</t>
  </si>
  <si>
    <t>BR 10 2026 002260 8</t>
  </si>
  <si>
    <t>23041.046861/2025-10</t>
  </si>
  <si>
    <t>sheyla.marques@ifal.edu.br</t>
  </si>
  <si>
    <t>Sistema à base de resíduos de manga para adsorção e liberação de misturas de semioquímicos.</t>
  </si>
  <si>
    <t>Johnnatan D. De Freitas</t>
  </si>
  <si>
    <r>
      <rPr>
        <rFont val="Arial"/>
        <color rgb="FF000000"/>
        <sz val="11.0"/>
        <u/>
      </rPr>
      <t>johnnatan.duarte@ifal.edu.br</t>
    </r>
  </si>
  <si>
    <t>BR 10 2026 005156 0</t>
  </si>
  <si>
    <t>23041.050715/2025-99</t>
  </si>
  <si>
    <t>Análise de material compósito para reparação e tratamento de fendas em madeira de eucalipto reflorestado em Alagoas.</t>
  </si>
  <si>
    <t>Aurea Luiza Quixabeira</t>
  </si>
  <si>
    <r>
      <rPr>
        <rFont val="Arial"/>
        <color rgb="FF000000"/>
        <sz val="11.0"/>
        <u/>
      </rPr>
      <t>aurea.raposo@ifal.edu.br</t>
    </r>
  </si>
  <si>
    <t>BR 10 2026 006795 4</t>
  </si>
  <si>
    <t>23041.002524/2026-00</t>
  </si>
  <si>
    <t>BR 10 2024 023286 0</t>
  </si>
  <si>
    <t>23041.023593/2024-87</t>
  </si>
  <si>
    <t>Processo Sustentável e Econômico para Redução de Óxido de Grafeno Usando Ferro Metálico</t>
  </si>
  <si>
    <t>Adonias França</t>
  </si>
  <si>
    <t>Registros de programa de computador</t>
  </si>
  <si>
    <r>
      <rPr>
        <rFont val="Arial"/>
        <color rgb="FF000000"/>
        <sz val="11.0"/>
        <u/>
      </rPr>
      <t>jose.franca@ifal.edu.br</t>
    </r>
  </si>
  <si>
    <t>BR 10 2026 012084 7</t>
  </si>
  <si>
    <t>23041.049205/2025-79</t>
  </si>
  <si>
    <t>Sistema de isolamento composto de RECIPIENTE TÉRMICO BICOMPOSITO DE ENDOCARPO DE COCOS NICIFERA.</t>
  </si>
  <si>
    <t>Eduardo Henrique Viana de Sousa</t>
  </si>
  <si>
    <t xml:space="preserve">eduardo.sousa@ifal.edu.br </t>
  </si>
  <si>
    <t>BR 10 2026 012071 5</t>
  </si>
  <si>
    <t>23041.015122/2025-86</t>
  </si>
  <si>
    <t>Random Food</t>
  </si>
  <si>
    <t>MoniToRH%  Monitor de Umidade e Temperatura sem contato para pastas cerâmicas</t>
  </si>
  <si>
    <t>Marcelo Assis Correa</t>
  </si>
  <si>
    <t>marcelo.assis@ifal.edu.br</t>
  </si>
  <si>
    <t>Emylle Chrystinne da Silva Euzébio;  Arthur Passos de Melo; Jardel Cleyson da Silva; Flávio Mota Medeiros</t>
  </si>
  <si>
    <t>BR 10 2026 010989 4</t>
  </si>
  <si>
    <t>Processo Ultrarrápido de Redução Térmica de GO em Atmosfera Ambiente com Barreira Térmica</t>
  </si>
  <si>
    <r>
      <rPr>
        <rFont val="Arial"/>
        <color rgb="FF000000"/>
        <sz val="11.0"/>
        <u/>
      </rPr>
      <t>jose.franca@ifal.edu.br</t>
    </r>
  </si>
  <si>
    <t>BR 10 2026 012747 7</t>
  </si>
  <si>
    <t>SOFTWARE</t>
  </si>
  <si>
    <t>ARAPIRACA</t>
  </si>
  <si>
    <r>
      <rPr>
        <rFont val="Arial"/>
        <color rgb="FF0000FF"/>
        <sz val="12.0"/>
        <u/>
      </rPr>
      <t>jardelcleyson@gmail.com</t>
    </r>
  </si>
  <si>
    <t>23041.049169/2025-43 | 23041.015209/2026-34 proc de pg</t>
  </si>
  <si>
    <t>Reparador de pontas de óleo de coco extra virgem</t>
  </si>
  <si>
    <t>Elisangela Costa Santos</t>
  </si>
  <si>
    <t>Registro concedido</t>
  </si>
  <si>
    <r>
      <rPr>
        <rFont val="Arial"/>
        <color rgb="FF000000"/>
        <sz val="11.0"/>
        <u/>
      </rPr>
      <t>elisangela.santos@ifal.edu.br</t>
    </r>
  </si>
  <si>
    <t>Alfa Beto e jogos de linguagem (PROCESSO 23041.051091/2023-65 PAGAMENTO DE GUIA DE RECOLHIMENTO DA UNIÃO - GRU)</t>
  </si>
  <si>
    <t>BR 10 2026 012745 0</t>
  </si>
  <si>
    <t>23041.010621/2026-68</t>
  </si>
  <si>
    <t>Ana Luiza Azevedo Fireman; Luiz Felipe Naziazeno Neto; Luiz Filipe Barbosa Varjão</t>
  </si>
  <si>
    <t>BR 51 2025 000985 2</t>
  </si>
  <si>
    <r>
      <rPr>
        <rFont val="&quot;Google Sans Text&quot;"/>
        <color rgb="FF1155CC"/>
        <u/>
      </rPr>
      <t>luiz.felipe@ifal.edu.br</t>
    </r>
  </si>
  <si>
    <t>23041.041753/2024-70</t>
  </si>
  <si>
    <t>Sistema de Liberação de Semioquímicos à Base de Manta Eletrofiada de Policaprolactona com Carvão Ativado Incorporado e Processo de Obtenção</t>
  </si>
  <si>
    <t>Clara Andrezza Crisóstomo Bezerra Costa, Ligia Maria Manzine Costa, Alan John Duarte de Freitas, Henrique Fonseca Goulart (Ufal), Antonio Euzébio Goulart de Sant'ana (Ufal) e Johnnatan Duarte de Freitas.</t>
  </si>
  <si>
    <r>
      <rPr>
        <rFont val="Arial"/>
        <color rgb="FF000000"/>
        <sz val="11.0"/>
        <u/>
      </rPr>
      <t>johnnatan.duarte@ifal.edu.br</t>
    </r>
  </si>
  <si>
    <t>BR 10 2026 014111 9</t>
  </si>
  <si>
    <t>23041.016513/2026-07</t>
  </si>
  <si>
    <t>ALEX - Uma plataforma virtual para educação híbrida inclusiva e centrada no estudante</t>
  </si>
  <si>
    <t>Breno Jacinto Duarte da Costa; Márcio Martins;  Fábio Paraguaçu; João Victor Berta</t>
  </si>
  <si>
    <t>BR 51 2024 000130 1</t>
  </si>
  <si>
    <r>
      <rPr>
        <rFont val="Arial"/>
        <color rgb="FF0000FF"/>
        <sz val="12.0"/>
        <u/>
      </rPr>
      <t>brenojac@ifal.edu.br</t>
    </r>
  </si>
  <si>
    <t>23041.051033/2023-31</t>
  </si>
  <si>
    <t>Voucher Digital</t>
  </si>
  <si>
    <t>Alexandre Paes Dos Santos, Davi Goncalves Valerio, Douglas Afonso Tenorio De Menezes, Manuel Eduardo Nascimento Antunes</t>
  </si>
  <si>
    <t>Nonextensive statistics in the one-dimensional parity-conserving particle process with Levy branching and no diffusion</t>
  </si>
  <si>
    <t>Arapiraca</t>
  </si>
  <si>
    <t>Ana Tereza Santana Mendes; Carlos Argolo Pereira Alves;</t>
  </si>
  <si>
    <r>
      <rPr>
        <rFont val="Arial"/>
        <color rgb="FF000000"/>
        <sz val="12.0"/>
        <u/>
      </rPr>
      <t>cleber.nauber@ifal.edu.br</t>
    </r>
  </si>
  <si>
    <t>BR 51 2025 000165 7</t>
  </si>
  <si>
    <r>
      <rPr>
        <rFont val="&quot;Google Sans Text&quot;"/>
        <color rgb="FF1155CC"/>
        <u/>
      </rPr>
      <t>mena1@aluno.ifal.edu.br</t>
    </r>
  </si>
  <si>
    <t>DESENHO</t>
  </si>
  <si>
    <t>23041.043611/2024-47</t>
  </si>
  <si>
    <t>BR 51 2024 002028 4</t>
  </si>
  <si>
    <t>23041.014371/2024-73</t>
  </si>
  <si>
    <t>Modelo de análise de ervas daninhas utilizando inteligência artificial com auxílio de imagens de satélite</t>
  </si>
  <si>
    <t>BR 51 2026 000619 8</t>
  </si>
  <si>
    <t>Luiz Felipe Naziazeno Neto; Luiz Filipe Barbosa Varjão; Ronny Francisco Marques De 
Souza; Yan Felipe Pereira Fernandes; Jarbas José De Souza Silva</t>
  </si>
  <si>
    <t>23041.049192/2025-38</t>
  </si>
  <si>
    <r>
      <rPr>
        <rFont val="&quot;Google Sans Text&quot;"/>
        <color rgb="FF1155CC"/>
        <u/>
      </rPr>
      <t>luiz.felipe@ifal.edu.br</t>
    </r>
  </si>
  <si>
    <t>EGRESSOS</t>
  </si>
  <si>
    <t>Cleber Nauber dos Santos; Macelo Leite Lyra</t>
  </si>
  <si>
    <r>
      <rPr>
        <rFont val="Arial"/>
        <color rgb="FF000000"/>
        <sz val="12.0"/>
        <u/>
      </rPr>
      <t>cleber.nauber@ifal.edu.br</t>
    </r>
  </si>
  <si>
    <t>BR 51 2024 002605 3</t>
  </si>
  <si>
    <t>BR 51 2026 000622 8</t>
  </si>
  <si>
    <t xml:space="preserve">23041.049337/2025-09 </t>
  </si>
  <si>
    <t>PLATAFORMA DOKYE</t>
  </si>
  <si>
    <t>23041.018538/2024-75</t>
  </si>
  <si>
    <t>Mônica Ximenes Carneiro da Cunha</t>
  </si>
  <si>
    <t>ECOPONTO</t>
  </si>
  <si>
    <t>Wallisson Rony de Magalhães Neves; Tarsis Marinho de Souza; Andesson Mendes de Freitas; Augusto César Lúcio de Oliveira; Renato Alves Timoteo Muniz; Ana Catarina Monteiro Carvalho Mori da Cunha; Emerson Floriano da Silva; Ruan Ranison da Costa Silva</t>
  </si>
  <si>
    <t>Critical dynamics of epidemic processes with Lévy-like diffusion</t>
  </si>
  <si>
    <t>monica@ifal.edu.br</t>
  </si>
  <si>
    <r>
      <rPr>
        <rFont val="Arial"/>
        <color rgb="FF1155CC"/>
        <sz val="12.0"/>
        <u/>
      </rPr>
      <t>tarsis.souza@ifal.edu.br</t>
    </r>
  </si>
  <si>
    <t>Total = 17</t>
  </si>
  <si>
    <r>
      <rPr>
        <rFont val="Arial"/>
        <color rgb="FF000000"/>
        <sz val="12.0"/>
        <u/>
      </rPr>
      <t>BR 51 2026 000016 5</t>
    </r>
  </si>
  <si>
    <t>Cleber Nauber dos Santos; Carlos Argolo Pereira Alves; Marcelo Leite Lyra</t>
  </si>
  <si>
    <r>
      <rPr>
        <rFont val="Arial"/>
        <color rgb="FF0000FF"/>
        <sz val="12.0"/>
        <u/>
      </rPr>
      <t>cleber.nauber@ifal.edu.br</t>
    </r>
  </si>
  <si>
    <t>BR 51 2024 002604 5</t>
  </si>
  <si>
    <t>23041.020755/2024-25</t>
  </si>
  <si>
    <t>SEJA - Sistema de Estágios e Jovem Aprendiz</t>
  </si>
  <si>
    <t>Lucas Gabriel Peixoto De Oliveira; Lucilene Da Silva Bezerra; Dilliani Felipe Barros 
De Oliveira; Leonardo Fernandes Mendonça De Oliveira</t>
  </si>
  <si>
    <t>Reitoria</t>
  </si>
  <si>
    <t>BR 51 2025 002134 8</t>
  </si>
  <si>
    <r>
      <rPr>
        <rFont val="Verdana, sans-serif"/>
        <color rgb="FF1155CC"/>
        <sz val="9.0"/>
        <u/>
      </rPr>
      <t>dilliani.oliveira@ifal.edu.br</t>
    </r>
  </si>
  <si>
    <t>23041.013808/2025-32</t>
  </si>
  <si>
    <t>SATUBA</t>
  </si>
  <si>
    <t>Dinâmica de espalhamento critico de caminhantes aleatórios aniquilantes conservando a paridade com ramificação em lei de potência.</t>
  </si>
  <si>
    <r>
      <rPr>
        <rFont val="Arial"/>
        <color rgb="FF0000FF"/>
        <sz val="12.0"/>
        <u/>
      </rPr>
      <t>cleber.nauber@ifal.edu.br</t>
    </r>
  </si>
  <si>
    <t>BR 51 2025 001682 4</t>
  </si>
  <si>
    <t>23041.039486/2024-71</t>
  </si>
  <si>
    <t>Rotina Divertida com Hugo e Sofia</t>
  </si>
  <si>
    <t>Katiúcia Wanessa Ramos da Silva; Jonata Santos Ramalho; Mônica Ximenes Carneiro da Cunha</t>
  </si>
  <si>
    <t>BR 51 2025 002829 6</t>
  </si>
  <si>
    <t>23041.022955/2025-01</t>
  </si>
  <si>
    <t>BR 51 2024 002606 1</t>
  </si>
  <si>
    <t>23041.018462/2024-88</t>
  </si>
  <si>
    <t>23041.039239/2025-55</t>
  </si>
  <si>
    <t>Teatalk</t>
  </si>
  <si>
    <t>SouTec Backend</t>
  </si>
  <si>
    <t>BR 51 2026 002078 6</t>
  </si>
  <si>
    <t>23041.006870/2026-59</t>
  </si>
  <si>
    <t xml:space="preserve">Alan Pedro Da Silva; Alisson Werner Arruda De Arruda; Diego Dermeval Medeiros Da Cunha Matos; Helena Macedo Reis; Ibsen Mateus Bittencourt Santana Pinto; Ig Ibert Bittencourt Santana Pinto; Ivo Augusto Andrade Rocha Calado; Joedna Lobato Do Amaral Hubner; Seiji Isotani; Sofia De Almeida Prado Simanke; Thiago Araújo Silva De Oliveira </t>
  </si>
  <si>
    <t>SIMEC- Sistema Integrado de Mecânica Educacional Conectada</t>
  </si>
  <si>
    <t>Eduardo Henrique Viana de Sousa / Rebeca Tirza Medeiros Frazão</t>
  </si>
  <si>
    <t>OportunEdu</t>
  </si>
  <si>
    <t>Fernando Kenji Kamei</t>
  </si>
  <si>
    <r>
      <rPr>
        <rFont val="Arial"/>
        <color rgb="FF0000FF"/>
        <sz val="12.0"/>
        <u/>
      </rPr>
      <t>eduardo.sousa@ifal.edu.br</t>
    </r>
    <r>
      <rPr>
        <rFont val="Arial"/>
        <color rgb="FF0000FF"/>
        <sz val="12.0"/>
      </rPr>
      <t>.</t>
    </r>
  </si>
  <si>
    <r>
      <rPr>
        <rFont val="&quot;Google Sans Text&quot;"/>
        <color rgb="FF1155CC"/>
        <u/>
      </rPr>
      <t>alan.pedro@ifal.edu.br</t>
    </r>
  </si>
  <si>
    <t>fernando.kenji@ifal.edu.br</t>
  </si>
  <si>
    <t>BR 51 2026 003223 7</t>
  </si>
  <si>
    <t>23041.038795/2025-12</t>
  </si>
  <si>
    <t>IFCARE - Pronto Atendimento Acadêmico Integrado</t>
  </si>
  <si>
    <t>Fernanda Calheiros Peixoto</t>
  </si>
  <si>
    <t>fernanda.calheiros@ifal.edu.br</t>
  </si>
  <si>
    <t>BR 51 2026 003007 2</t>
  </si>
  <si>
    <t>23041.002228/2026-09</t>
  </si>
  <si>
    <t>LETRAMUNDO</t>
  </si>
  <si>
    <t>BR 51 2025 002982 9</t>
  </si>
  <si>
    <t>23041.022705/2025-63</t>
  </si>
  <si>
    <t>BR 51 2026 004803 6</t>
  </si>
  <si>
    <t>23041.014545/2026-60 -  23041.017187/2026-47  proc de pg</t>
  </si>
  <si>
    <t>TEAGRAM</t>
  </si>
  <si>
    <t>BR 51 2026 005588 1</t>
  </si>
  <si>
    <t>BR 51 2024 000191 3</t>
  </si>
  <si>
    <t>23041.014564/2026-96 -  23041.017192/2026-50  proc de pg</t>
  </si>
  <si>
    <t>SouTec Crawler</t>
  </si>
  <si>
    <r>
      <rPr>
        <rFont val="&quot;Google Sans Text&quot;"/>
        <color rgb="FF1155CC"/>
        <u/>
      </rPr>
      <t>alan.pedro@ifal.edu.br</t>
    </r>
  </si>
  <si>
    <t>Registros de desenho industrial</t>
  </si>
  <si>
    <t>BR 51 2024 000151 4</t>
  </si>
  <si>
    <t>GreenGrow</t>
  </si>
  <si>
    <t>Davi Carnaúba de Lima Vieira; Fernando Kenji Kamei; Gabriel Afonso Lins de Melo; Mikhael de Oliveira Silva D'Amato; Francisco Rafael da Silva Pereira</t>
  </si>
  <si>
    <t>Satuba</t>
  </si>
  <si>
    <t>BR 51 2025 003510 1</t>
  </si>
  <si>
    <t>23041.023228/2025-53</t>
  </si>
  <si>
    <t>GizmoObjects</t>
  </si>
  <si>
    <t>Eyder Tinoco Ferreira Neto; Fernando Kenji Kamei; Gabriel Afonso Lins de Melo; Mikhael de Oliveira Silva D'amato</t>
  </si>
  <si>
    <t>BR 51 2025 004358 9</t>
  </si>
  <si>
    <t>23041.022244/2025-29</t>
  </si>
  <si>
    <t>SIMPLIFICA</t>
  </si>
  <si>
    <t>Guilherme de Jesus Vieira; Marcos Vinicius França Silva; Maurício Vieira Dias Júnior; Ruan Ranison da Costa Silva</t>
  </si>
  <si>
    <t>mauricio.dias@ifal.edu.br</t>
  </si>
  <si>
    <t>BR 51 2025 004485 2</t>
  </si>
  <si>
    <t>23041.047272/2024-78</t>
  </si>
  <si>
    <t>GizmoCode</t>
  </si>
  <si>
    <t xml:space="preserve">Mônica Ximenes Carneiro da Cunha; Gabriel Afonso Lins de Melo; Mikhael de Oliveira Silva D'amato; Eyder Tinoco Ferreira Neto </t>
  </si>
  <si>
    <t>BR 51 2025 006057 2</t>
  </si>
  <si>
    <t>23041.040238/2025-53</t>
  </si>
  <si>
    <t>Chatbot Acadêmico IFAL.IA</t>
  </si>
  <si>
    <t>Luiz Felipe Naziazeno Neto; Ronny Francisco Marques De Souza; Cinthia Régia Dos Santos Freitas</t>
  </si>
  <si>
    <t>ronny.souza@ifal.edu.br</t>
  </si>
  <si>
    <t>SouTec aplicação móvel</t>
  </si>
  <si>
    <t>BR 51 2025 006184 6</t>
  </si>
  <si>
    <t>23041.046198/2025-53</t>
  </si>
  <si>
    <r>
      <rPr>
        <rFont val="&quot;Google Sans Text&quot;"/>
        <color rgb="FF1155CC"/>
        <u/>
      </rPr>
      <t>alan.pedro@ifal.edu.br</t>
    </r>
  </si>
  <si>
    <t>Software para análise de temperatura e umidade utilizando ESP32, MySQL, PHP</t>
  </si>
  <si>
    <t>Luiz Felipe Naziazeno Neto; Cristian José Simões Costa; Cinthia Régia dos Santos Freitas; Aristófanes Matias Gomes da Silva; Vitoria Rodrigues Vieira; Kawã Ailton Monteiro Lima; Davi Henrique Soares Ferreira;  Robson Júnior Gonçalves Fernandes; João Ernesto Pereira Mota</t>
  </si>
  <si>
    <t>luiz.felipe@ifal.edu.br</t>
  </si>
  <si>
    <t>BR 51 2024 000185 9</t>
  </si>
  <si>
    <t>BR 51 2025 000753 1</t>
  </si>
  <si>
    <t>23041.001462/2025-20</t>
  </si>
  <si>
    <t>MARECHAL DEODORO</t>
  </si>
  <si>
    <t>SÃO MIGUEL DOS CAMPUS</t>
  </si>
  <si>
    <t>Solicitações — 2023</t>
  </si>
  <si>
    <t>Processo De Sintese E Caracterização De Microesferas Carregadas Com Rincoforol Comaplicação Em Dispensadores De Feromônios</t>
  </si>
  <si>
    <t xml:space="preserve">Alan John Duarte de Freitas; Johnnatan Duarte Freitas; Jennifer Mclaine Duarte de Freitas; Demetrius Pereira Morilla; Clara Andrezza Crisóstomo Bezerra Costa; Luis Carlos Ferreira de Oliveira; Orlando Francisco da Silva Moura; Mikael De Lima Freitas; Celso Silva Caldas; Ingrid Sofia Vieira de Melo;  Jório Bezerra Cabral Júnior; Fabrício Daniel dos Santos Silva; João Gomes da Costa; Jessé Marques da Silva Júnior Pavão; José Robério Cavalcante Da Silva; Fabiane Caxico de Abreu Galdino;  Ticiano Gomes do Nascimento; Ruth Rufino do Nascimento </t>
  </si>
  <si>
    <r>
      <rPr>
        <rFont val="Arial"/>
        <color rgb="FF1155CC"/>
        <sz val="12.0"/>
        <u/>
      </rPr>
      <t>johnnatan.duarte@ifal.edu.br</t>
    </r>
  </si>
  <si>
    <t>BR 10 2023 026116 7</t>
  </si>
  <si>
    <t>23041.007216/2023-10</t>
  </si>
  <si>
    <t>Avaliação da Viabilidade Técnica, Econômica e Ambiental da Produção de Piso Intertravado com Agregado da Concha de Sururu</t>
  </si>
  <si>
    <t>Arthur Amaral Batista Tenório; Sheyla Karolina Justino Marques</t>
  </si>
  <si>
    <t>BR 10 2023 026115 9</t>
  </si>
  <si>
    <t>23041.044128/2023-07</t>
  </si>
  <si>
    <t>PALMEIRA DOS ÍNDIOS</t>
  </si>
  <si>
    <t>Processo de obtenção de compósito obtido através dos sacos de cimentos de papel kraft após otimização com hidróxido de sódio (NaOH)</t>
  </si>
  <si>
    <t>Ricardo Calheiros Soares; Luciano Oliveira Alves de Queiros</t>
  </si>
  <si>
    <t>Palmeira dos Índios</t>
  </si>
  <si>
    <t>ricardo.soares@ifal.edu.br</t>
  </si>
  <si>
    <t>Solicitações — 2022</t>
  </si>
  <si>
    <t>BR 10 2023 015076 4</t>
  </si>
  <si>
    <t>23041.025090/2023-65</t>
  </si>
  <si>
    <t>Purificador de Água Inteligente e Personalizável com Monitoramento Individualizado e Integração com Comércio Eletrônico (Purificador Health Care)</t>
  </si>
  <si>
    <t>Davi Carnaúba de Lima Vieira</t>
  </si>
  <si>
    <r>
      <rPr>
        <rFont val="&quot;Google Sans Text&quot;"/>
        <color rgb="FF1155CC"/>
        <u/>
      </rPr>
      <t>davi.carnauba@ifal.edu.br</t>
    </r>
  </si>
  <si>
    <t>BR 10 2023 018732 3</t>
  </si>
  <si>
    <t>23041.030497/2023-12</t>
  </si>
  <si>
    <t>Fabricação de concreto com incorporação de fibras de papel kraft provenientes de embalagens de cimento pós-uso recicladas</t>
  </si>
  <si>
    <t>Eliédon Rafael de Carvalho; Shyla Karolina Justino Marques</t>
  </si>
  <si>
    <t>Sistema Integrado de Hardware e Software Aplicado à Manutenção Corretiva e Preventiva de Equipamentos Industriais</t>
  </si>
  <si>
    <t>Alex Aguiar da Silva; Fabrício Caymon Nogueira</t>
  </si>
  <si>
    <t>BR 10 2023 005097 2</t>
  </si>
  <si>
    <t>23041.004879/2023-82</t>
  </si>
  <si>
    <t>Coruripe</t>
  </si>
  <si>
    <t>Peneira rotativa de baixo custo, com reaproveitamento de materiais, para separar o sururu de sua casca</t>
  </si>
  <si>
    <t>Allisson Luiz Nascimento da Silva;  Juliane Cabral Silva; Paulo dos Santos Silva; Sheldon Cristiano Souza da Silva; Kamilly Nascimento dos Santos; João Gustavo de Oliveira Souza; Vitória Beatriz Herculano Lopes; Livia Karolynne Vieira de luna; Bianca Letícia Ferreira dos Santos; Jacksiel José de Abreu; Alberto Jorge Santos de Almeida; José Henrick Viana Ramalho; Rômulo Afonso Luna Vianna de Omena;</t>
  </si>
  <si>
    <r>
      <rPr>
        <color rgb="FF1155CC"/>
        <u/>
      </rPr>
      <t>allisson.silva@ifal.edu.br</t>
    </r>
  </si>
  <si>
    <r>
      <rPr>
        <rFont val="&quot;Google Sans Text&quot;"/>
        <color rgb="FF1155CC"/>
        <u/>
      </rPr>
      <t>alex.aguiar@ifal.edu.br</t>
    </r>
  </si>
  <si>
    <t>BR 10 2023 008818 0</t>
  </si>
  <si>
    <t>23041.003347/2023-28</t>
  </si>
  <si>
    <t>Compostagem de resíduos agroindústrias de polpa de frutas para uso na produção de mudas</t>
  </si>
  <si>
    <t>Alessandra Cristina de Lima Soares; André Suêldo Tavares de Lima; Erika Socorro Alves Graciano de Vasconcelos; Mateus Emanuel de Mendonça Alves; Tays Myrelle de Vasconcelos Siqueira</t>
  </si>
  <si>
    <r>
      <rPr>
        <rFont val="&quot;Times New Roman&quot;, &quot;serif&quot;"/>
        <color rgb="FF1155CC"/>
        <sz val="12.0"/>
        <u/>
      </rPr>
      <t>alessandracdelimasoares@gmail.com</t>
    </r>
  </si>
  <si>
    <t>Solicitações — 2021</t>
  </si>
  <si>
    <t>BR 10 2023 000939 5</t>
  </si>
  <si>
    <t>23041.054129/2022-71</t>
  </si>
  <si>
    <t>Robô de emissão de radiação ultravioleta.</t>
  </si>
  <si>
    <t>Jacksiel José de Abreu; Allisson Luiz Nascimento da Silva;  José Henrick Viana Ramalho; Alberto Jorge Santos de Almeida; Rômulo Afonso Luna Vianna de Omena</t>
  </si>
  <si>
    <t>jacksiel.abreu@ifal.edu.br</t>
  </si>
  <si>
    <t>BR 10 2023 008626 8</t>
  </si>
  <si>
    <t>BR 10 2022 023606 2</t>
  </si>
  <si>
    <t>23041.052339/2022-24</t>
  </si>
  <si>
    <t>23041.043075/2022-18</t>
  </si>
  <si>
    <t xml:space="preserve">Aproveitamento De Cascalho De Perfuração De Poços De Petróleo Na Produção De Concreto Permeável </t>
  </si>
  <si>
    <t>José Diôgo Barbosa De Almeida; Sheyla Karolina Justino Marque; Áurea Luiza Quixabeira Rosa E Silva Rapôso</t>
  </si>
  <si>
    <t>BR 10 2022 008186 7</t>
  </si>
  <si>
    <t>23041.010927/2022-91</t>
  </si>
  <si>
    <t>Produção de Filmes de Revestimento Alimentício à Base do Coproduto da Extração da Própolis Vermelha</t>
  </si>
  <si>
    <t>CORURIPE</t>
  </si>
  <si>
    <t xml:space="preserve">Morgana Carine Santos De Lima; André Suêldo Tavares De Lima; Ticiano Gomes Do Nascimento; Johnnatan Duarte De Freitas; Isabel Cristina Celerino De Moraes Porto; Jeniffer Mclaine Duarte De Freitas; Tatiane Luciano Balliano; Demetrius Pereira Morilla; Alan John Duarte De Freitas </t>
  </si>
  <si>
    <t xml:space="preserve">BR 10 2022 005680 3 </t>
  </si>
  <si>
    <t>23041.007350/2022-30</t>
  </si>
  <si>
    <t xml:space="preserve">Microcápsula Contendo Extrato De Própolis Marrom, Processo De Obtenção E Uso Da Mesma. </t>
  </si>
  <si>
    <t>Irinaldo Diniz Basílio Júnior; Alan John Duarte De Freitas; Valdemir Da Costa Silva; Arthur Luy Tavares Ferreira Borges; Jennifer Mclaine Duarte De Freitas; Fernanda Geny Calheiros Silva; Mailde Jéssica Liodorio Dos Santos; Clara Andrezza Crisóstomo Bezerra Costa; Orlando Franscico Da Silva Moura; Johnnatan Duarte Freitas; Demetrius Pereira Morilla; Lucas Rafael De Oliveira Silva; Monique Almeida Vila Nova; Luis Carlos Ferreira De Oliveira; Ticiano Gomes Do Nascimento; Fabiane Caxico De Abreu Galdino; Emanoel Guilhermino Da Silva Júnior; Abel Barbosa Lira Neto; João Victor Lessa De Oliveira; Thaíse Da Silva Santos; Jhonatan David Santos Das Neves; Jailson Ferreira De Freitas; Rubens Pessoa De Barros; Jean Ferreira De Freitas; Sidney José Dos Santos; Celso Silva Caldas</t>
  </si>
  <si>
    <t>Desenvolvimento de argamassa de assentamento e revestimento com conchas de sururu</t>
  </si>
  <si>
    <t>INCLUSAO GAME</t>
  </si>
  <si>
    <t>jhonatan.david@uneal.edu.br</t>
  </si>
  <si>
    <t>Renato Carvalho Menezes</t>
  </si>
  <si>
    <t>BR 10 2022 002341 7</t>
  </si>
  <si>
    <t>23041.038302/2021-11</t>
  </si>
  <si>
    <t>Eduardo Cardoso Moraes; Victor Phellyppe S. De Oliveira</t>
  </si>
  <si>
    <t>eduardo.moraes@ifal.edu.br</t>
  </si>
  <si>
    <t>Argamassa De Assentamento Com Substituição Parcial Do Agregado Miúdo Por Embalagens Cartonadas Trituradas</t>
  </si>
  <si>
    <t>renato.menezes@ifal.edu.br</t>
  </si>
  <si>
    <t xml:space="preserve">Ronny Francisco Marques De Souza; Sheyla Karolina Justino Marques; Juliana Lira Brito </t>
  </si>
  <si>
    <t>BR 51 2023 001174 6</t>
  </si>
  <si>
    <t>23041.005097/2022-80</t>
  </si>
  <si>
    <t>Random Laser Montecarlo simulation in fortran</t>
  </si>
  <si>
    <t>BR 10 2022 013616-5</t>
  </si>
  <si>
    <t>Andre Lima Moura; Carlos Argolo Pereira Alves; Cleber Nauber Dos Santos; Samuel Silva Albuquerque</t>
  </si>
  <si>
    <t>23041.028961/2022-11</t>
  </si>
  <si>
    <t>Caracterização E Valorização Da Farinha De Resíduo De Malte Como Ingrediente Para fabricação De Produtos De Panificação.</t>
  </si>
  <si>
    <t>Jennifer Mclaine Duarte De Freitas; Clara Andrezza Crisóstomo Bezerra Costa; Johnnatan Duarte Freitas; Victor Cordeiro Fireman; Layanne Cabral De Almeida; Alan John Duarte Freitas; Ingrid Sofia Vieira De Melo; Jório Bezerra Cabral Júnior; André Suêldo Tavares De Lima; Ticiano Gomes Do Nascimento</t>
  </si>
  <si>
    <t>BR 51 2023 001137 1</t>
  </si>
  <si>
    <t>jorio.cabral@igdema.ufal.br</t>
  </si>
  <si>
    <t>23041.003632/2023-49</t>
  </si>
  <si>
    <t>QuiLibras</t>
  </si>
  <si>
    <t>Elisangela Costa Santos; Ermesson Lima Dos Santos; Everson Vinicius Soares Do Nascimento</t>
  </si>
  <si>
    <t>BR 51 2023 001579 2</t>
  </si>
  <si>
    <t>23041.014569/2023-76</t>
  </si>
  <si>
    <t>BR 10 2022 012297 0</t>
  </si>
  <si>
    <t>Plataforma Ciberfísica para Irrigação Inteligente (PC2I)</t>
  </si>
  <si>
    <t>23041.028738/2022-74</t>
  </si>
  <si>
    <t>Daniel Lacet De Faria Fireman; Felipe Alencar Lops</t>
  </si>
  <si>
    <t>Elaboração de um produto tipo catchup de beterraba</t>
  </si>
  <si>
    <t xml:space="preserve">Emanuel Neto Alves De Oliveira; Danielle Martins Lemos; Elisabete Piancó De Sousa </t>
  </si>
  <si>
    <t>Batalha</t>
  </si>
  <si>
    <t>danieleali@gmail.com</t>
  </si>
  <si>
    <t>BR 51 2023 001814 7</t>
  </si>
  <si>
    <t>23041.021741/2023-48</t>
  </si>
  <si>
    <t>BR 10 2022 003394 3</t>
  </si>
  <si>
    <t>23041.027187/2020-60</t>
  </si>
  <si>
    <t>Processo epidêmico difusivo 2d</t>
  </si>
  <si>
    <t>Carlos Argolo Pereira Alves; Cleber Nauber Dos Santos; Iram Marcelo Gléria; Marcelo Leite Lyra; Miguel Barrios Luis Nauber</t>
  </si>
  <si>
    <t>BR 10 2021 021385 0</t>
  </si>
  <si>
    <t>BR 51 2023 001581 4</t>
  </si>
  <si>
    <t>23041.017250/2023-01</t>
  </si>
  <si>
    <t>23041.007875/2021-94</t>
  </si>
  <si>
    <t>Processo epidêmico difusivo 2d dinâmico</t>
  </si>
  <si>
    <t>Produção de bloco intertravado de concreto autoadensável com adição de finos de resíduo cerâmico provenientes da Construção Civil</t>
  </si>
  <si>
    <t>BR 51 2023 001815 5</t>
  </si>
  <si>
    <t>23041.022337/2023-91</t>
  </si>
  <si>
    <t>Ronny Francisco</t>
  </si>
  <si>
    <t>CCG - Centro de Cruzamento Genético</t>
  </si>
  <si>
    <t xml:space="preserve">Ebenézer Bernardes Correia Silva; Jedson Emanoel Da Silva Zu; Maria Luzenita Wagner Mallmann; Nathan Rafael Mendonça De Assis; Sara Nicoly Ferreira Lins </t>
  </si>
  <si>
    <r>
      <rPr>
        <rFont val="&quot;Google Sans Text&quot;"/>
        <color rgb="FF1155CC"/>
        <u/>
      </rPr>
      <t>ronny.souza@ifal.edu.br</t>
    </r>
  </si>
  <si>
    <t>BR 51 2023 002214 4</t>
  </si>
  <si>
    <t>23041.025957/2023-82</t>
  </si>
  <si>
    <t>PD&amp;S ANALYTICS</t>
  </si>
  <si>
    <t>Cleber Nauber Dos Santos; Edison Camilo De Moraes Jr; Marcelo Embiruçu De Souza; Marcio Luis Ferreira Nascimento; Victor Souza Sgarbi</t>
  </si>
  <si>
    <t>BR 51 2023 001019 7</t>
  </si>
  <si>
    <t>N/A</t>
  </si>
  <si>
    <t>PG Analytics - Observatório do Sistema Nacional de Pós-Graduação</t>
  </si>
  <si>
    <t>Carlos Henrique Almeida Alves; Cleber Nauber Dos Santos; Marcelo Embiruçu De Souza; Marcio Luis Ferreira Nascimento; Victor Souza Sgarbi</t>
  </si>
  <si>
    <t>BR 51 2023 002411 2</t>
  </si>
  <si>
    <t>23041.026532/2023-91</t>
  </si>
  <si>
    <t>Processo de difusão de epidemias em uma dimensão - simulação estacionaria</t>
  </si>
  <si>
    <t>Andre Lima Moura; Caio Eduardo Pereira De Farias; Carlos Argolo Pereira Alves; Cleber Nauber Dos Santos; Iram Marcelo Gléria; Marcelo Leite Lyra; Samuel Silva Albuquerque</t>
  </si>
  <si>
    <t>BR 10 2021 024396 1</t>
  </si>
  <si>
    <t>23041.037578/2021-73</t>
  </si>
  <si>
    <t>BR 51 2023 002745 6</t>
  </si>
  <si>
    <t>23041.028167/2023-59</t>
  </si>
  <si>
    <t>Canudo biodegradavel a partir de cera de abelha</t>
  </si>
  <si>
    <t>Danielle Lemos</t>
  </si>
  <si>
    <t>FERCEN - Ferramenta de Controle de Recursos Energéticos</t>
  </si>
  <si>
    <t>Augusto César Lúcio De Oliveira; João Pedro Nobre Mendes</t>
  </si>
  <si>
    <r>
      <rPr>
        <rFont val="&quot;Google Sans Text&quot;"/>
        <color rgb="FF1155CC"/>
        <u/>
      </rPr>
      <t>danielle.lemos@ifal.edu.br</t>
    </r>
  </si>
  <si>
    <t>BR 51 2023 003437 1</t>
  </si>
  <si>
    <t>QUALYTEAM VACCINE</t>
  </si>
  <si>
    <t>23041.040862/2023-99</t>
  </si>
  <si>
    <t>Emesson Michael Pereira Gois; Jarlisson José De Lira; Paulo Cesar Do Nascimento Cunha; Wellighton José Serapião</t>
  </si>
  <si>
    <t>Notifica: uma plataforma digital para controle e para monitoramento de notificações compulsórias de doenças e agravos</t>
  </si>
  <si>
    <t>Artur Henrique Ferreira Dos Santos Silva; Bianca Nicoly Amorim De Castro Alves; Evandro Da Silva Melo Junior; Felipe Da Silva Santos; Gabriel De Jesus Santos; Gabriel Soares Da Silva Santos; João Vitor Laranjeira Bernardino; Lousanny Caires Rocha Melo; Lucas Rodrigues Santos; Micledson Carlos Santos De Lima; Robson Alves Gominho; Samila Raphaela De Oliveira; Tarsis Marinho De Souza; Thiago De Almeida Pereira Filho; Thiago Gazaroli Cardoso; Victor Luan De Lima Lemos; Wallisson Rony De Magalhães Neves</t>
  </si>
  <si>
    <t>BR 51 2023 004018 5</t>
  </si>
  <si>
    <t>23041.043663/2023-32</t>
  </si>
  <si>
    <t>BR 51 2022 002671 6</t>
  </si>
  <si>
    <t>23041.034328/2022-62</t>
  </si>
  <si>
    <t>Conecta: uma plataforma digital para conectar empresas e instituições científicas, tecnológicas e de inovação (ICTs)</t>
  </si>
  <si>
    <t>Inventário Certo</t>
  </si>
  <si>
    <t>Artur Henrique Ferreira Dos Santos Silva; Augusto César Lúcio De Oliveira; Bianca Nicoly Amorim De Castro Alves; Carlos Eduardo Rocha Nunes; Eduardo Lúcio De Queiroz; Emerson Floriano Da Silva; Felipe Da Silva Santos; Gabriel De Jesus Santos; Gabriel Soares Da Silva Santos; Guilherme De Jesus Vieira; Ismael Felix Da Rocha; José Mateus Rian Das Chagas; João Vitor Laranjeira Bernardino; Lessa Apolinario Da Silva Neto; Lucas Rodrigues Santos; Micledson Carlos Santos De Lima; Renato Alves Timoteo Muniz; Tarsis Marinho De Souza; Thiago Gazaroli Cardoso; Wallisson Rony De Magalhães Neves</t>
  </si>
  <si>
    <t>Ednildo Macena Da Silva Filho; Nícolas Lopes De Menezes; Paula Pradines De Albuquerque Lôbo; Rodrigo Fernandes Vanderlei Vasco</t>
  </si>
  <si>
    <t>Benedito Bentes</t>
  </si>
  <si>
    <t>BR 10 2021 017563 0</t>
  </si>
  <si>
    <t>BR 51 2023 004019 3</t>
  </si>
  <si>
    <t>23041.047288/2019-13</t>
  </si>
  <si>
    <t>23041.044362/2023-26</t>
  </si>
  <si>
    <t>BR 51 2022 002416 0</t>
  </si>
  <si>
    <t>23041.036240/2022-85</t>
  </si>
  <si>
    <t>Processamento de brownie a partir da obtenção da farinha de inhame por secagem convectiva</t>
  </si>
  <si>
    <t>BIOFORCA</t>
  </si>
  <si>
    <t>Neide Aparecida Ferreira Machado</t>
  </si>
  <si>
    <t>Ebenézer Bernardes Correia Silva; Maria Luzenita Wagner Mallmann; Márcio Cavalcante Vila Nova; Nathan Rafael Mendonça De Assis.</t>
  </si>
  <si>
    <r>
      <rPr>
        <rFont val="&quot;Google Sans Text&quot;"/>
        <color rgb="FF1155CC"/>
        <u/>
      </rPr>
      <t>neide.ferreira@ifal.edu.br</t>
    </r>
  </si>
  <si>
    <t>BR 51 2022 003161 2</t>
  </si>
  <si>
    <t>23041.037717/2022-40</t>
  </si>
  <si>
    <t>CHATBOT MARVIN</t>
  </si>
  <si>
    <t>Cledja Karina Rolim Da Silva; Jonas Sousa Leandro; Matheus Breno Dos Santos Moura</t>
  </si>
  <si>
    <t>MURICI</t>
  </si>
  <si>
    <t>BR 51 2022 003591 0</t>
  </si>
  <si>
    <t>23041.052406/2022-19</t>
  </si>
  <si>
    <t>BR 10 2021 014926 4</t>
  </si>
  <si>
    <t>23041.025879/2020-73 || 23041.033695/2024-19</t>
  </si>
  <si>
    <t>BIODINGO</t>
  </si>
  <si>
    <t>Cícero Jacinto Da Silva Neto, Ebenézer Fernandes Correia Silva; Eike Fabricio Da Silva, Maria Luzenita Wagner Mallmann; Ruan Tenório De Melo</t>
  </si>
  <si>
    <t xml:space="preserve">Composição De Microcápsulas De Uncaria Tomentosa, Processos De Obtenção E Caracterização De Microcápsulas De Uncaria Tomentosa E Usos Da Mesma </t>
  </si>
  <si>
    <t>Alan John Duarte De Freitas</t>
  </si>
  <si>
    <t>BR 51 2022 003600 2</t>
  </si>
  <si>
    <t>23041.052530/2022-76</t>
  </si>
  <si>
    <t>SementeSuite</t>
  </si>
  <si>
    <t>Cosmo Rufino De Lima; Fábio José Marques; Humberto Beltrão Da Cunha Júnior; José Carlos Almeida Patrício Júnior; Márcio Fléquisson Alves Miranda; Pablo Radamés Cabral De França; Érik Alves Almeida</t>
  </si>
  <si>
    <t xml:space="preserve">fabio.marques@ifal.edu.br </t>
  </si>
  <si>
    <r>
      <rPr>
        <rFont val="Arial"/>
        <color rgb="FF1155CC"/>
        <sz val="12.0"/>
        <u/>
      </rPr>
      <t>alan.freitas@ifal.edu.br</t>
    </r>
  </si>
  <si>
    <t>BR 51 2022 002731 3</t>
  </si>
  <si>
    <t>Processamento De Linguagem Natural Para Frase Por Ditado</t>
  </si>
  <si>
    <t>BR 10 2021 022111 9</t>
  </si>
  <si>
    <t>23041.044244/2025-80</t>
  </si>
  <si>
    <t>Diego Dermeval Medeiros Da Cunha Matos; Gabriel Augusto Barbosa; Hilário Tomaz Alves De Oliveira; Hyan Hugo Noá Batista; Ig Ibert Bittencourt Santana Pinto; Jário José Dos Santos Júnior; Mauricio Ronny De Almeida Souza; Nicolas Yan Bittencourt Santana Pereira; Péricles Barbosa Cunha De Miranda; Rafael Ferreira Leite De Mello; Rodrigo Ludermir De Oliveira; Seiji Isotani; Thiago Damasceno Cordeiro; Tiago Barbosa De Lima</t>
  </si>
  <si>
    <t>Produção de Pimenta Vermelha Tipo "Biquinho" (Capsicum Chinense Jacq.) Em Pó</t>
  </si>
  <si>
    <t>Alexandre José De Melo Queiroz; Rossana Maria Feitosa De Figueredo; Rodrigo Leite Moura; Pedro Francisco Do Rego Júnior</t>
  </si>
  <si>
    <r>
      <rPr>
        <rFont val="&quot;Google Sans Text&quot;"/>
        <color rgb="FF1155CC"/>
        <u/>
      </rPr>
      <t>rodrigo.moura@ifal.edu.br</t>
    </r>
  </si>
  <si>
    <t>BR 51 2022 001752 0</t>
  </si>
  <si>
    <t>BR 10 2021 014391 6</t>
  </si>
  <si>
    <t>23041.029624/2025-94</t>
  </si>
  <si>
    <t>PENEDO</t>
  </si>
  <si>
    <t>Processamento De Linguagem Natural Para Frase Por Imagem</t>
  </si>
  <si>
    <t>BR 51 2022 001753 9</t>
  </si>
  <si>
    <t>Processamento De Linguagem Natural Para Palavra Por Ditado</t>
  </si>
  <si>
    <t>BR 51 2022 001754 7</t>
  </si>
  <si>
    <t>Processamento De Linguagem Natural Para Redação Coesão</t>
  </si>
  <si>
    <t>BR 51 2022 001772 5</t>
  </si>
  <si>
    <t>BR 51 2022 001758 0</t>
  </si>
  <si>
    <t>Processamento De Linguagem Natural Para Redação Ortografia</t>
  </si>
  <si>
    <t>BR 51 2022 001770 9</t>
  </si>
  <si>
    <t>Processamento De Linguagem Natural Para Redação Pontuação</t>
  </si>
  <si>
    <t>BR 51 2022 001771 7</t>
  </si>
  <si>
    <t>Processamento De Linguagem Natural Para Redação Viabilidade Cópia</t>
  </si>
  <si>
    <t>Diego Dermeval Medeiros Da Cunha Matos; Gabriel Augusto Barbosa; Hilário Tomaz Alves De Oliveira; Hyan Hugo Noá Batista; Ig Ibert Bittencourt Santana Pinto; Jário José Dos Santos Júnior; Mauricio Ronny De Almeida Souza; Nicolas Yan Bittencourt Santana Pereira; Péricles Barbosa Cunha De Miranda; Rafael Ferreira Leite De Mello; Rodrigo Ludermir De Oliveira ; Seiji Isotani; Thiago Damasceno Cordeiro; Tiago Barbosa De Lima</t>
  </si>
  <si>
    <t>BR 51 2022 001774 1</t>
  </si>
  <si>
    <t>RELAXING</t>
  </si>
  <si>
    <t>Almira Alves Dos Santos; Flávio Mota Medeiros; Isabella Costa Figueiredo Medeiros; Yuri David Queiroz Assunção De Azevedo</t>
  </si>
  <si>
    <t>BR 51 2020 001677 4</t>
  </si>
  <si>
    <t>Plataforma para monitoramento pacientes com suspeitas ou confirmados de COVID-19</t>
  </si>
  <si>
    <t>23041.014585/2020-16</t>
  </si>
  <si>
    <t>E-NOLOGY</t>
  </si>
  <si>
    <t>Jackson Silva Bezerra; José Anderson Delmondes Caitano; Marici Lopes Da Silva; Priscylla Maria Da Silva Sousa</t>
  </si>
  <si>
    <t>Rio Largo</t>
  </si>
  <si>
    <r>
      <rPr>
        <rFont val="Arial"/>
        <color rgb="FF1155CC"/>
        <sz val="12.0"/>
        <u/>
      </rPr>
      <t>tarsis.souza@ifal.edu.br</t>
    </r>
  </si>
  <si>
    <t>BR 51 2022 000515 8</t>
  </si>
  <si>
    <t>23041.006249/2022-61</t>
  </si>
  <si>
    <t>Jogo De Linguagens</t>
  </si>
  <si>
    <t>Ana Luiza Azevedo Fireman; João Pedro Santana Santos; Lucas Akira Tanabe Quaresma; Luiz Felipe Naziazeno Neto</t>
  </si>
  <si>
    <t>Solicitações — 2020</t>
  </si>
  <si>
    <t>BR 51 2022 001686 9</t>
  </si>
  <si>
    <t>23041.024473/2022-35</t>
  </si>
  <si>
    <t>Programa De Gestão E Desempenho</t>
  </si>
  <si>
    <t>Antônio Cavalcanti Cajueiro Neto; Fernando Antônio Corado Carneiro; Iran Rodrigues Gonzaga Júnior; Marcos Paulo José De Melo Silva</t>
  </si>
  <si>
    <t>BR 51 2022 001570 6</t>
  </si>
  <si>
    <t>23041.025586/2022-58</t>
  </si>
  <si>
    <t>BR 51 2021 000791 3</t>
  </si>
  <si>
    <t>23041.027490/2020-62</t>
  </si>
  <si>
    <t>My Moto</t>
  </si>
  <si>
    <t>Antônio Alexandre De Andrade Júnior; Luiz Roberto Torres Dos Santos; Ollin Magno Santos; Priscylla Maria Da Silva Sousa</t>
  </si>
  <si>
    <r>
      <rPr>
        <rFont val="&quot;Google Sans Text&quot;"/>
        <color rgb="FF1155CC"/>
        <u/>
      </rPr>
      <t>priscylla.sousa@ifal.edu.br</t>
    </r>
  </si>
  <si>
    <t>BR 51 2021 000801 4</t>
  </si>
  <si>
    <t>23041.036269/2020-03</t>
  </si>
  <si>
    <t>TERAMUSIC</t>
  </si>
  <si>
    <t>Fernando Antônio Guimarães Tenório; Jussara Ramos Da Silva; Lucas Rodrigues Santos; Wallisson Rony De Magalhães Neves</t>
  </si>
  <si>
    <r>
      <rPr>
        <rFont val="&quot;Google Sans Text&quot;"/>
        <color rgb="FF1155CC"/>
        <u/>
      </rPr>
      <t>lrs20@aluno.ifal.edu.br</t>
    </r>
  </si>
  <si>
    <t xml:space="preserve">Tijolo Ecológico Produzido A Partir Da Combinação De Cimento, Solo Laterítico E Carago </t>
  </si>
  <si>
    <t xml:space="preserve">Priscylla Cinthya Alves Gondim; Wilson Acchar; Sheyla Karolina Justino Marques; João De Medeiros Dantas Neto </t>
  </si>
  <si>
    <t>BR 51 2021 000802 2</t>
  </si>
  <si>
    <t>23041.028672/2020-51</t>
  </si>
  <si>
    <t>Sisvac – Sistema De Agendamento de Vacinas</t>
  </si>
  <si>
    <t>SANTANA DO IPANEMA</t>
  </si>
  <si>
    <t>Evandro Da Silva Melo Junior; Gabriel Soares Da Silva Santos; Lousanny Caires Rocha Melo; Matheus Breno Dos Santos Moura; Tarsis Marinho De Souza; Vinnicyus Philyppe Gracindo Alves Leite; Wallisson Rony De Magalhães Neves</t>
  </si>
  <si>
    <r>
      <rPr>
        <rFont val="Arial"/>
        <color rgb="FF1155CC"/>
        <sz val="12.0"/>
        <u/>
      </rPr>
      <t>tarsis.souza@ifal.edu.br</t>
    </r>
  </si>
  <si>
    <t>BR 51 2021 001471 5</t>
  </si>
  <si>
    <t>23041.017736/2021-79</t>
  </si>
  <si>
    <t>Sistema De Recomendação De Adubação E Calagem De Culturas Agrícolas</t>
  </si>
  <si>
    <t>Enio Gomes Flor Souza; Lucas Akira Tanabe Quaresma; Luiz Felipe Naizazeno Neto</t>
  </si>
  <si>
    <t>BR 51 2021 001604 1</t>
  </si>
  <si>
    <t>23041.018528/2021-97</t>
  </si>
  <si>
    <t>GESTEMPO</t>
  </si>
  <si>
    <t>Rossana Viana Gaia; Valmir Rogério E Silva</t>
  </si>
  <si>
    <r>
      <rPr>
        <rFont val="&quot;Google Sans Text&quot;"/>
        <color rgb="FF1155CC"/>
        <u/>
      </rPr>
      <t>rossana.gaia@ifal.edu.br</t>
    </r>
  </si>
  <si>
    <t>BR 10 2020 018396 6</t>
  </si>
  <si>
    <t>23041.036713/2025-97</t>
  </si>
  <si>
    <t>BR 51 2021 001715 3</t>
  </si>
  <si>
    <t>23041.018610/2021-11</t>
  </si>
  <si>
    <t>SMART SYSTEM</t>
  </si>
  <si>
    <t>Eduardo Frigoletto De Menezes; Iran Rodrigues Gonzaga Júnior; Marcos Paulo José De Melo Silva</t>
  </si>
  <si>
    <r>
      <rPr>
        <rFont val="&quot;Google Sans Text&quot;"/>
        <color rgb="FF1155CC"/>
        <u/>
      </rPr>
      <t>eduardo.frigoletto@ifal.edu.br</t>
    </r>
  </si>
  <si>
    <t>BR 51 2021 001605 0</t>
  </si>
  <si>
    <t>23041.019289/2021-92</t>
  </si>
  <si>
    <t>INFO PANC</t>
  </si>
  <si>
    <t>André Suêldo Tavares De Lima; Felipe Augusto Oliveira Lopes; Tadeu Patelo Barbosa</t>
  </si>
  <si>
    <r>
      <rPr>
        <rFont val="&quot;Google Sans Text&quot;"/>
        <color rgb="FF1155CC"/>
        <u/>
      </rPr>
      <t>andre.sueldo@ifal.edu.br</t>
    </r>
  </si>
  <si>
    <t>BR 51 2021 003050 8</t>
  </si>
  <si>
    <t>23041.024588/2021-49</t>
  </si>
  <si>
    <t xml:space="preserve">CALC-COMPOSITE </t>
  </si>
  <si>
    <t>José Antônio França De Araújo; Raul Bernardo Pontes Pires</t>
  </si>
  <si>
    <t>Solicitações — 2019</t>
  </si>
  <si>
    <t>BR 51 2021 002747 7</t>
  </si>
  <si>
    <t>23041.034172/2021-39</t>
  </si>
  <si>
    <t>SementeSuite: Aplicativo para otimizar análise de sementes</t>
  </si>
  <si>
    <r>
      <rPr>
        <rFont val="&quot;Google Sans Text&quot;"/>
        <color rgb="FF1155CC"/>
        <u/>
      </rPr>
      <t>fabio.marques@ifal.edu.br</t>
    </r>
  </si>
  <si>
    <t>BATALHA</t>
  </si>
  <si>
    <t>BR 51 2021 002696 9</t>
  </si>
  <si>
    <t>FundPro</t>
  </si>
  <si>
    <t>Thiago Delfino Lima Vasconcelos</t>
  </si>
  <si>
    <t>E-lixo</t>
  </si>
  <si>
    <r>
      <rPr>
        <color rgb="FF1155CC"/>
        <u/>
      </rPr>
      <t>thiago.vasconcelos@ifa</t>
    </r>
  </si>
  <si>
    <t>Adriana dos Santos Franco</t>
  </si>
  <si>
    <t>adriana.franco@ifal.edu.br</t>
  </si>
  <si>
    <t>Produção De Etanol De Segunda Geração A Partir Da Bioconversão Da Folha Do Coqueiro Como Biomassa Lignocelulósica</t>
  </si>
  <si>
    <t xml:space="preserve">Renata Maria Rosas Garcia Almeida; Márcia Andréa Gomes; Elaine Christine De Magalhães Cabral Albuquerque; Martha Suzana Rodrigues Dos Santos Rocha; Kledson Lopes Barbosa; Íthalo Barbosa Silva De Abreu; Jumelice Dos Santos Silva; Wagner Roberto De Oliveira Pimentel </t>
  </si>
  <si>
    <t>marcia.gomes@ifal.edu.br</t>
  </si>
  <si>
    <t>BR 51 2020 002983 3</t>
  </si>
  <si>
    <t>BR 51 2021 000267 9</t>
  </si>
  <si>
    <t>23041.030013/2020-84</t>
  </si>
  <si>
    <t>LABREAL</t>
  </si>
  <si>
    <t>Dalton Serafim De Oliveira; Elisangela Costa Santos; Ermesson Lima Dos Santos</t>
  </si>
  <si>
    <t>ERGOBIO</t>
  </si>
  <si>
    <t>Aydano Pamponet Machado; Evandro De Barros Costa; Leandro Dias Da Silva; Leonardo Melo De Medeiros; Luís Felipe Vieira Silva; Maria Júlia De Oliveira Vieira; Thayse Justino Montenegro Falcão</t>
  </si>
  <si>
    <t>lmm2@aluno.ifal.edu.br</t>
  </si>
  <si>
    <r>
      <rPr>
        <rFont val="Arial"/>
        <color rgb="FF1155CC"/>
        <sz val="12.0"/>
        <u/>
      </rPr>
      <t>elisangela.santos@ifal.edu.br</t>
    </r>
  </si>
  <si>
    <t>BR 10 2019 005092 6</t>
  </si>
  <si>
    <t>BR 51 2021 000205 9</t>
  </si>
  <si>
    <t>23041.021419/2025-81</t>
  </si>
  <si>
    <t>Calda Sabor Tapioca Alagoana</t>
  </si>
  <si>
    <t>Táscya Morganna De Morais Santos; Libiana Mayara Oliveira Dos Santos; Thaisa Timoteo Da Silva</t>
  </si>
  <si>
    <r>
      <rPr>
        <rFont val="Arial"/>
        <color rgb="FF1155CC"/>
        <sz val="12.0"/>
        <u/>
      </rPr>
      <t>tascya.santos@ifal.edu.br</t>
    </r>
  </si>
  <si>
    <t>BR 51 2020 000005 3</t>
  </si>
  <si>
    <t>VRLAB</t>
  </si>
  <si>
    <t>BR 10 2019 000859 8</t>
  </si>
  <si>
    <r>
      <rPr>
        <rFont val="Arial"/>
        <color rgb="FF1155CC"/>
        <sz val="12.0"/>
        <u/>
      </rPr>
      <t>elisangela.santos@ifal.edu.br</t>
    </r>
  </si>
  <si>
    <t>BR 51 2020 000010 0</t>
  </si>
  <si>
    <t>23041.005111/2025-98 proc de anuidade || 23041.006071/2025-00 proc de desarquivamento</t>
  </si>
  <si>
    <t>QUIZ QUÍMICA</t>
  </si>
  <si>
    <t xml:space="preserve">Farinha Nutritiva A Partir Do Bagaço De Pinha (Annona Squamosa L.) Para O Desenvolvimento De Formulações Alimentares </t>
  </si>
  <si>
    <t xml:space="preserve">Felipe Thiago Caldeira De Souza; Elenilson Rivando Dos Santos; Leane Kellen De Souza Silva; Nicole Ranielly Farias De Andrade; Thalyta Christie Braga Rabelo; Jeisiely Da Cruz Silva; Mônika Bezerra Dos Santos Oliveira; Iara Barros Valentim </t>
  </si>
  <si>
    <r>
      <rPr>
        <rFont val="Arial"/>
        <color rgb="FF1155CC"/>
        <sz val="12.0"/>
        <u/>
      </rPr>
      <t>felipe.souza@ifal.edu.br</t>
    </r>
  </si>
  <si>
    <r>
      <rPr>
        <rFont val="Arial"/>
        <color rgb="FF1155CC"/>
        <sz val="12.0"/>
        <u/>
      </rPr>
      <t>elisangela.santos@ifal.edu.br</t>
    </r>
  </si>
  <si>
    <t>BR 51 2020 000011 8</t>
  </si>
  <si>
    <t>QIWEB</t>
  </si>
  <si>
    <t>Handrik Palmeira Magalhães; João Paulo Ajala Sorgato</t>
  </si>
  <si>
    <t>BR 10 2019 001012 6</t>
  </si>
  <si>
    <r>
      <rPr>
        <rFont val="&quot;Google Sans Text&quot;"/>
        <color rgb="FF1155CC"/>
        <u/>
      </rPr>
      <t>handrik@ifal.edu.br</t>
    </r>
  </si>
  <si>
    <t>23041.005124/2025-67</t>
  </si>
  <si>
    <t xml:space="preserve">Processo de Produção de Biscoitos Tipo Cookie com Substituição Parcial da Farinha de Trigo por Fígado Bovino Liofilizado </t>
  </si>
  <si>
    <t xml:space="preserve">Ingrid Sofia Vieira De Melo; Jacqueline Vieira Da Silva; João Victor Laurindo Dos Santos; Nassib Bezerra Bueno </t>
  </si>
  <si>
    <r>
      <rPr>
        <rFont val="Arial"/>
        <color rgb="FF1155CC"/>
        <sz val="12.0"/>
        <u/>
      </rPr>
      <t>ingrid.melo@ifal.edu.br</t>
    </r>
  </si>
  <si>
    <t>BR 51 2020 000335 4</t>
  </si>
  <si>
    <t>ACESSBUS</t>
  </si>
  <si>
    <t>BR 10 2019 001174 2</t>
  </si>
  <si>
    <t>23041.002257/2024-09</t>
  </si>
  <si>
    <t>Ana Karla Cavalcante Ferreira; Everton Macena De Paiva; Mateus Guedes De Lima</t>
  </si>
  <si>
    <r>
      <rPr>
        <color rgb="FF1155CC"/>
        <u/>
      </rPr>
      <t>karla.cavalcante@ifal.e</t>
    </r>
  </si>
  <si>
    <t>BENEDITO BENTES</t>
  </si>
  <si>
    <t>BR 51 2020 000336 2</t>
  </si>
  <si>
    <t>ALGORIF</t>
  </si>
  <si>
    <t>Flávio Mota Medeiros</t>
  </si>
  <si>
    <r>
      <rPr>
        <rFont val="&quot;Google Sans Text&quot;"/>
        <color rgb="FF1155CC"/>
        <u/>
      </rPr>
      <t>flavio.medeiros@ifal.edu.br</t>
    </r>
  </si>
  <si>
    <t>BR 51 2020 002984 1</t>
  </si>
  <si>
    <r>
      <rPr>
        <rFont val="&quot;Google Sans Text&quot;"/>
        <color rgb="FF1155CC"/>
        <u/>
      </rPr>
      <t>flavio.medeiros@ifal.edu.br</t>
    </r>
  </si>
  <si>
    <t>GENUINO RESCUE</t>
  </si>
  <si>
    <t>Higor Daniel Costa Cabral</t>
  </si>
  <si>
    <t xml:space="preserve">higor.daniel@ifal.edu.br </t>
  </si>
  <si>
    <t>BR 51 2019 000473 6</t>
  </si>
  <si>
    <t>Genuino Rescue Support</t>
  </si>
  <si>
    <t>BR 51 2019 000474 4</t>
  </si>
  <si>
    <t>BITS HOUSE</t>
  </si>
  <si>
    <t>Ariel Roque Inácio Luz; Rafael Thyago Antonello</t>
  </si>
  <si>
    <t>BR 51 2019 000488 4</t>
  </si>
  <si>
    <t>TUTOMATH</t>
  </si>
  <si>
    <t>Diogo Meurer De Souza Castro; Kevin Washington Da Silva Lira</t>
  </si>
  <si>
    <r>
      <rPr>
        <rFont val="Arial"/>
        <color rgb="FF1155CC"/>
        <sz val="12.0"/>
        <u/>
      </rPr>
      <t>diogo.castro@ifal.edu.br</t>
    </r>
  </si>
  <si>
    <t>PIRANHAS</t>
  </si>
  <si>
    <t>BR 51 2019 000497 3</t>
  </si>
  <si>
    <t>Aplicativo Dose Certa</t>
  </si>
  <si>
    <t>Josefa Emanuelle Nobre Silva; Luan Victor De Oliveira Silva; Sheyla Karolina Justino Marques; Wolffgang Amadeu Rodrigues De Lemos</t>
  </si>
  <si>
    <r>
      <rPr>
        <rFont val="Arial"/>
        <color rgb="FF1155CC"/>
        <sz val="12.0"/>
        <u/>
      </rPr>
      <t>jens1@aluno.ifal.edu.br</t>
    </r>
  </si>
  <si>
    <t>Solicitações — 2018 N/A</t>
  </si>
  <si>
    <t>BR 51 2019 000499 0</t>
  </si>
  <si>
    <t>MINDSHARE</t>
  </si>
  <si>
    <t>Adrian Lincoln Ferreira Clarindo; Carla Cristina Real Vieira De Andrade; Cleber Fernando Serafin; David Glauber De Gusmão Cerqueira Lima; Filipe Zaidan Ferreira Da Silva; Flávio Mota Medeiros;  Rafael Gomes Tenório</t>
  </si>
  <si>
    <r>
      <rPr>
        <rFont val="Arial"/>
        <color rgb="FF1155CC"/>
        <sz val="12.0"/>
        <u/>
      </rPr>
      <t>dggcl1@aluno.ifal.edu.br</t>
    </r>
  </si>
  <si>
    <t>BR 51 2019 000536 8</t>
  </si>
  <si>
    <t>ABC AUTISMO TRANSPORTES</t>
  </si>
  <si>
    <t>Ezequiel Batista Farias; Jean Barros Teixeira; José Wellisson Silva De Souza; Lukas Teixeira Carvalho; Marcos Paulo Gonçalves Dos Reis; Mônica Ximenes Carneiro Da Cunha; Paulo Ney Barbosa Saturmino</t>
  </si>
  <si>
    <t>BR 51 2019 000674 7</t>
  </si>
  <si>
    <t>123 AUTISMO</t>
  </si>
  <si>
    <t>José Wellisson Silva De Souza; Lukas Teixeira Carvalho; Marcos Paulo Gonçalves Dos Reis; Mônica Ximenes Carneiro Da Cunha</t>
  </si>
  <si>
    <t>BR 51 2019 000675 5</t>
  </si>
  <si>
    <t>ABC AUTISMO ANIMAIS</t>
  </si>
  <si>
    <t>BR 51 2019 000681 0</t>
  </si>
  <si>
    <t>ABC AUTISMO FRUTAS</t>
  </si>
  <si>
    <t>Solicitações — 2017 N/A</t>
  </si>
  <si>
    <t>BR 51 2019 000682 8</t>
  </si>
  <si>
    <t>FERRAMENTA EDESIGN</t>
  </si>
  <si>
    <t>Adriana Paula Quixabeira Rosa E Silva Oliveira Santos; Camila Felix Da Silva; Maria Thatiane Gomes Ramalho De Freitas; Marina Do Nascimento Gonçalves; Pedro Da Costa Raposo Neto; Vanessa Gomes Santana; Áurea Luiza Quixabeira Rosa E Silva Rapôso</t>
  </si>
  <si>
    <r>
      <rPr>
        <rFont val="Arial"/>
        <color rgb="FF1155CC"/>
        <sz val="12.0"/>
        <u/>
      </rPr>
      <t>aurea.raposo@ifal.edu.br</t>
    </r>
  </si>
  <si>
    <t>BR 51 2019 000690 9</t>
  </si>
  <si>
    <t>Programa De Avaliação De Desempenho</t>
  </si>
  <si>
    <t>Adriano Da Silva Araujo; Fernando Antonio Corado Carneiro; Handrik Palmeira Magalhães; Iran Rodrigues Gonzaga Junior; João Paulo Ajala Sorgato</t>
  </si>
  <si>
    <t>dti@ifal.edu.br</t>
  </si>
  <si>
    <t>BR 51 2019 001026 4</t>
  </si>
  <si>
    <t>ESPAÇO NIT</t>
  </si>
  <si>
    <t>Danielle Clara Santana Da Silva; Danillo Gabriel Moreira Correia De Souza; Eunice Palmeira Da Silva</t>
  </si>
  <si>
    <t>danielle.santana@ifal.edu.br</t>
  </si>
  <si>
    <t>BR 51 2019 001157 0</t>
  </si>
  <si>
    <t>SISPDTI</t>
  </si>
  <si>
    <t>Fernando Antonio Corado Carneir; Handrik Palmeira Magalhães; João Paulo Ajala Sorgato; Marcos Paulo José De Melo Silva; Uziel Silva Barbosa</t>
  </si>
  <si>
    <t>BR 51 2019 001887 7</t>
  </si>
  <si>
    <t>PREPARA IF</t>
  </si>
  <si>
    <t>Cledja Karina Rolim Da Silva; Eduardo Lúcio Correia; Micledson Carlos Santos De Lima; Valdinei Da Silva Santos; Vinicius Cortez Cavalcante Rocha</t>
  </si>
  <si>
    <t>mcsl2@aluno.ifal.edu.br</t>
  </si>
  <si>
    <t>BR 51 2019 001889 3</t>
  </si>
  <si>
    <t>SISTEMA DE PROTOCOLO</t>
  </si>
  <si>
    <t>Fernando Antonio Corado Carneiro; Handrik Palmeira Magalhães; João Paulo Ajala Sorgato</t>
  </si>
  <si>
    <t>BR 51 2019 001990 3</t>
  </si>
  <si>
    <t>LOCALIZATION</t>
  </si>
  <si>
    <t>Faline Tenório Lins Carnaúba; Guilherme Bejamin Brandão Pitta; Ilka Do Amaral Soares; Jarlisson José De Lira; Luciana Castelo Branco Camurça Fernandes; Paulo César do Nascimento Cunha; Pedro De Lemos Menezes; Tayná Rocha dos Santos Carvalho</t>
  </si>
  <si>
    <t>paulo.cunha@ifal.edu.br</t>
  </si>
  <si>
    <t>BR 51 2019 002687 0</t>
  </si>
  <si>
    <t>Banco - Módulo Covo</t>
  </si>
  <si>
    <t>Áurea Luiza Quixabeira Rosa E Silva Rapôso; Elder Duarte Santiago; Claire Houly De Sant`Ana</t>
  </si>
  <si>
    <r>
      <rPr>
        <rFont val="Arial"/>
        <color rgb="FF1155CC"/>
        <sz val="12.0"/>
        <u/>
      </rPr>
      <t>aurea.raposo@ifal.edu.br</t>
    </r>
  </si>
  <si>
    <t>MARAGOGI</t>
  </si>
  <si>
    <t>BR 30 2019 000746 0</t>
  </si>
  <si>
    <t>Coleção Eco Raízes Do Agreste – Banqueta - Revisteiro – Linha Angico Branco</t>
  </si>
  <si>
    <t>Áurea Luiza Quixabeira Rosa E Silva Rapôso; Érica Walesca De Abreu Tenório; Valderis Torres De França</t>
  </si>
  <si>
    <r>
      <rPr>
        <rFont val="Arial"/>
        <color rgb="FF1155CC"/>
        <sz val="12.0"/>
        <u/>
      </rPr>
      <t>aurea.raposo@ifal.edu.br</t>
    </r>
  </si>
  <si>
    <t>BR 30 2019 000747 9</t>
  </si>
  <si>
    <t>23061.046432/2018-13</t>
  </si>
  <si>
    <t>Coleção Eco Raízes Do Agreste – Pufe-Centro – Raízes Da Terra</t>
  </si>
  <si>
    <r>
      <rPr>
        <rFont val="Arial"/>
        <color rgb="FF1155CC"/>
        <sz val="12.0"/>
        <u/>
      </rPr>
      <t>aurea.raposo@ifal.edu.br</t>
    </r>
  </si>
  <si>
    <t>BR 30 2019 000751 7</t>
  </si>
  <si>
    <t>23041.046434/2018-11</t>
  </si>
  <si>
    <t>Coleção Porto De Pedras – Estante +Açu</t>
  </si>
  <si>
    <t xml:space="preserve">Ryanne Machado Correia; Vladimir Nolasco De Carvalho; Áurea Luiza Quixabeira Rosa E Silva Rapôso; Cleber Nauber Dos Santos; Hanah Maria Torres De Melo; Míryan Patrícia Tenório Ferreira </t>
  </si>
  <si>
    <r>
      <rPr>
        <rFont val="Arial"/>
        <color rgb="FF1155CC"/>
        <sz val="12.0"/>
        <u/>
      </rPr>
      <t>aurea.raposo@ifal.edu.br</t>
    </r>
  </si>
  <si>
    <t>BR 30 2019 000787 8</t>
  </si>
  <si>
    <t>23041.046398/2018-87</t>
  </si>
  <si>
    <t>Coleção Eco Raízes Do Agreste – Banco-Cachepot – Linha Angico Branco</t>
  </si>
  <si>
    <r>
      <rPr>
        <rFont val="Arial"/>
        <color rgb="FF1155CC"/>
        <sz val="12.0"/>
        <u/>
      </rPr>
      <t>aurea.raposo@ifal.edu.br</t>
    </r>
  </si>
  <si>
    <t>BR 30 2019 000748 7</t>
  </si>
  <si>
    <t>Coleção Eco Raízes Do Agreste – Poltrona – Linha Angico Branco</t>
  </si>
  <si>
    <r>
      <rPr>
        <rFont val="Arial"/>
        <color rgb="FF1155CC"/>
        <sz val="12.0"/>
        <u/>
      </rPr>
      <t>aurea.raposo@ifal.edu.br</t>
    </r>
  </si>
  <si>
    <t>BR 30 2019 000750 9</t>
  </si>
  <si>
    <t>Coleção Eco Raízes Do Agreste – Poltrona - Raízes Da Terra</t>
  </si>
  <si>
    <r>
      <rPr>
        <rFont val="Arial"/>
        <color rgb="FF1155CC"/>
        <sz val="12.0"/>
        <u/>
      </rPr>
      <t>aurea.raposo@ifal.edu.br</t>
    </r>
  </si>
  <si>
    <t>BR 30 2019 000752 5</t>
  </si>
  <si>
    <t>Coleção Eco Raízes Do Agreste – Pufe-Recamier – Raízes Da Terra</t>
  </si>
  <si>
    <r>
      <rPr>
        <rFont val="Arial"/>
        <color rgb="FF1155CC"/>
        <sz val="12.0"/>
        <u/>
      </rPr>
      <t>aurea.raposo@ifal.edu.br</t>
    </r>
  </si>
  <si>
    <t>BR 30 2019 000753 3</t>
  </si>
  <si>
    <t>Coleção Porto De Pedras – Móvel Tatuamunha</t>
  </si>
  <si>
    <t>Martha Kristina Gomes Lima ; Swély Teixeira Dos Santos ; Áurea Luiza Quixabeira Rosa E Silva Rapôso ; Cleber Nauber Dos Santos ; Hanah Maria Torres De Melo</t>
  </si>
  <si>
    <r>
      <rPr>
        <rFont val="Arial"/>
        <color rgb="FF1155CC"/>
        <sz val="12.0"/>
        <u/>
      </rPr>
      <t>aurea.raposo@ifal.edu.br</t>
    </r>
  </si>
  <si>
    <t>BR 30 2019 000769 0</t>
  </si>
  <si>
    <t>Coleção Porto De Pedras – Banco - Módulo Aratu</t>
  </si>
  <si>
    <t>Claire Houly De Sant´Ana; Elder Duarte Santiago; Franciele Gonçalves Medeiros De Aquino; Áurea Luiza Quixabeira Rosa E Silva Rapôso; Cleber Nauber Dos Santos; Hanah Maria Torres De Melo</t>
  </si>
  <si>
    <r>
      <rPr>
        <rFont val="Arial"/>
        <color rgb="FF1155CC"/>
        <sz val="12.0"/>
        <u/>
      </rPr>
      <t>aurea.raposo@ifal.edu.br</t>
    </r>
  </si>
  <si>
    <t>BR 30 2019 000781 9</t>
  </si>
  <si>
    <t>Coleção Porto De Pedras – Banco Composto +Açu</t>
  </si>
  <si>
    <t>Ryanne Machado Correia / Vladimir Nolasco De Carvalho / Áurea Luiza Quixabeira Rosa E Silva Rapôso / Cleber Nauber Dos Santos / Hanah Maria Torres De Melo / Míryan Patrícia Tenório Ferreira</t>
  </si>
  <si>
    <r>
      <rPr>
        <rFont val="Arial"/>
        <color rgb="FF1155CC"/>
        <sz val="12.0"/>
        <u/>
      </rPr>
      <t>aurea.raposo@ifal.edu.br</t>
    </r>
  </si>
  <si>
    <t>BR 30 2019 000789 4</t>
  </si>
  <si>
    <t>RIO LARGO</t>
  </si>
  <si>
    <t>Solicitações — 2016</t>
  </si>
  <si>
    <t>VIÇOSA</t>
  </si>
  <si>
    <t>Sistema De Gestão De Restaurantes Institucionais</t>
  </si>
  <si>
    <t>Dayvson Cassiano Sales; Edison Camilo De Moraes Júnior; Lucas Lima Ataide; Murilo Ventura Da Fonsêca; Victor Aurélio Guimarães Silva</t>
  </si>
  <si>
    <r>
      <rPr>
        <rFont val="Arial"/>
        <color rgb="FF1155CC"/>
        <sz val="12.0"/>
        <u/>
      </rPr>
      <t>edison@ifal.edu.br</t>
    </r>
  </si>
  <si>
    <t>Solicitações — 2015</t>
  </si>
  <si>
    <t>BR 51 2016 001191 2</t>
  </si>
  <si>
    <t>APLICATIVO DOE+</t>
  </si>
  <si>
    <t>Ernandes Roberto Da Silva Júnior; Marcílio Ferreira De Souza Júnior; Nywton Rogério Barros Da Silva</t>
  </si>
  <si>
    <r>
      <rPr>
        <rFont val="Arial"/>
        <color rgb="FF1155CC"/>
        <sz val="12.0"/>
        <u/>
      </rPr>
      <t>edison@ifal.edu.br</t>
    </r>
  </si>
  <si>
    <t>BR 51 2016 001276 5</t>
  </si>
  <si>
    <t>SISPRONATEC</t>
  </si>
  <si>
    <t>Anderson Maia De Albuquerque; Joel Henrique Neves Costa</t>
  </si>
  <si>
    <r>
      <rPr>
        <rFont val="Arial"/>
        <color rgb="FF1155CC"/>
        <sz val="12.0"/>
        <u/>
      </rPr>
      <t>edison@ifal.edu.br</t>
    </r>
  </si>
  <si>
    <t>BR 51 2016 001277 3</t>
  </si>
  <si>
    <t xml:space="preserve">Instituto Federal de Alagoas - IFAL
Pró-Reitoria de Pesquisa, Pós-Graduação e Inovação - PRPPI
Departamento de Pesquisa
Coordenação do Núcleo de Inovação Tecnológica
Controle de Propriedade Intelectual </t>
  </si>
  <si>
    <t>REITORIA</t>
  </si>
  <si>
    <t>HANGAUT GAME VERSÃO 1.1</t>
  </si>
  <si>
    <t>Ezequiel Batista Farias; Jean Barros Teixeira; José Wellinson Silva De Souza; Marcos Paulo Gonçalves Dos Reis; Mônica Ximenes Carneiro Da Cunha; Paulo Ney Barbosa Saturnino; Roberto Lima Lins Junior</t>
  </si>
  <si>
    <t>ezequiel.farias@ifal.edu.br</t>
  </si>
  <si>
    <t>ANO DE CONCESSÃO - 2016</t>
  </si>
  <si>
    <t>BR 51 2015 001196 0</t>
  </si>
  <si>
    <t>ABC - AUTISMO VERSÃO 2.0</t>
  </si>
  <si>
    <t>BR 51 2015 001197 9</t>
  </si>
  <si>
    <t>PROGRAMA</t>
  </si>
  <si>
    <t>AUTOR</t>
  </si>
  <si>
    <t>Hangout Games</t>
  </si>
  <si>
    <t>Registro Concedido</t>
  </si>
  <si>
    <t>ABC - Autismo Versão 2.0</t>
  </si>
  <si>
    <t>ANO DE CONCESSÃO - 2017</t>
  </si>
  <si>
    <t>Aplicativo  Doe+ Para Doação de Sangue</t>
  </si>
  <si>
    <t>Marcílio Ferreira de Souza Júnior</t>
  </si>
  <si>
    <t>Sistemas de Gestão de Restaurantes Institucionais</t>
  </si>
  <si>
    <t>Edison Camilo de Moraes Júnior</t>
  </si>
  <si>
    <t>SISpronatec</t>
  </si>
  <si>
    <t>Joel Henrique Neves da Costa</t>
  </si>
  <si>
    <t>ANO DE DEPÓSITO - 2019</t>
  </si>
  <si>
    <t>INVENTO</t>
  </si>
  <si>
    <t>Depósito - Processo INPI</t>
  </si>
  <si>
    <t>Criação de um Dendrômetro para medição da produtividade na agricultura</t>
  </si>
  <si>
    <t>edison@ifal.edu.br</t>
  </si>
  <si>
    <t>BR 10 2019 000845 8</t>
  </si>
  <si>
    <t xml:space="preserve">Elaboração de Biscoito Tipo Cookie com Farinha de Fígado Bovino 
</t>
  </si>
  <si>
    <t xml:space="preserve">Ingrid Sofia Vieira de Melo
</t>
  </si>
  <si>
    <t>ingrid.melo@ifal.edu.br</t>
  </si>
  <si>
    <t>Farinha nutritiva a partir do bagaço de pinha (Annona squamosa L.) para o desenvolvimento de formulações alimentares</t>
  </si>
  <si>
    <t>Felipe Thiago C. de Souza</t>
  </si>
  <si>
    <t>felipe.souza@ifal.edu.br</t>
  </si>
  <si>
    <t>Tascya Morganna de Morais Santos</t>
  </si>
  <si>
    <t>tascya.santos@ifal.edu.br</t>
  </si>
  <si>
    <t>Produção de Etanol de Segunda Geração a Partir da Bioconversão da Folha do Coqueiro como Biomassa Lignocelulósica</t>
  </si>
  <si>
    <t>Márcia Andréa Gomes</t>
  </si>
  <si>
    <t>Santana do Ipanema</t>
  </si>
  <si>
    <t>Aditivo Incorporador de Ar para Concreto à Base de Óleo de Mamona</t>
  </si>
  <si>
    <t>Rodrigo Mero Sarmento da Silva</t>
  </si>
  <si>
    <t>rodrigo.mero@ifal.edu.br</t>
  </si>
  <si>
    <t>BR 10 2019 010767 7</t>
  </si>
  <si>
    <t>ANO DE CONCESSÃO - 2019</t>
  </si>
  <si>
    <t>Nº PROCESSO INPI</t>
  </si>
  <si>
    <t>Áurea Luiza Quixabeira Rosa e Silva Raposo</t>
  </si>
  <si>
    <t>aurea.raposo@ifal.edu.br</t>
  </si>
  <si>
    <t>BR 30 2019 0007819</t>
  </si>
  <si>
    <t>Genuino Rescue</t>
  </si>
  <si>
    <t>Higor Daniel Costa</t>
  </si>
  <si>
    <t>Palmeira dos índios</t>
  </si>
  <si>
    <t>higor.daniel@ifal.edu.b</t>
  </si>
  <si>
    <t>Tuto Math</t>
  </si>
  <si>
    <t>Diogo Meurer de Souza Castro</t>
  </si>
  <si>
    <t>diogo.castro@ifal.edu.br</t>
  </si>
  <si>
    <t>Dose Certa</t>
  </si>
  <si>
    <t>Bits House</t>
  </si>
  <si>
    <t>Rafael Thyago Antonello</t>
  </si>
  <si>
    <t>rafael.antonello@ifal.edu.br</t>
  </si>
  <si>
    <t>Mindshare</t>
  </si>
  <si>
    <t>Carla Cristina Real Vieira de Andrade</t>
  </si>
  <si>
    <t>carla.vieira@ifal.edu.br</t>
  </si>
  <si>
    <t>ABC  Autismo Transportes</t>
  </si>
  <si>
    <t>ABC Autismo Frutas</t>
  </si>
  <si>
    <t>ABC Autismo Animais</t>
  </si>
  <si>
    <t>123 Autismo</t>
  </si>
  <si>
    <t>Ferramenta Edesign</t>
  </si>
  <si>
    <t>Sistema de Avaliação de Desempenho Individual</t>
  </si>
  <si>
    <t>João Paulo Ajala Sorgato</t>
  </si>
  <si>
    <t>joao.sorgato@ifal.edu.br</t>
  </si>
  <si>
    <t>Espaço NIT</t>
  </si>
  <si>
    <t>Danielle Clara Santana da Silva</t>
  </si>
  <si>
    <t>Prepara IF</t>
  </si>
  <si>
    <t>Cledja Karina Rolim da Silva</t>
  </si>
  <si>
    <t>cledja@ifal.edu.br</t>
  </si>
  <si>
    <t>Sistema de Protocolo</t>
  </si>
  <si>
    <t>Localization</t>
  </si>
  <si>
    <t>Paulo César do Nascimento Cunha</t>
  </si>
  <si>
    <t xml:space="preserve">paulo.cunha@ifal.edu.br </t>
  </si>
  <si>
    <t>ANO DE DEPÓSITO - 2020</t>
  </si>
  <si>
    <t>Tijolo ecológico produzido a partir da combinação de cimento, solo
laterítico e carago - Parceiria entre IFRN e IFAL</t>
  </si>
  <si>
    <t xml:space="preserve">sheyla.marques@ifal.edu.br </t>
  </si>
  <si>
    <t xml:space="preserve">BR 10 2020 018396 6
</t>
  </si>
  <si>
    <t>ANO DE CONCESSÃO - 2020</t>
  </si>
  <si>
    <t>Labreal</t>
  </si>
  <si>
    <t>elisangela.santos@ifal.edu.br</t>
  </si>
  <si>
    <t xml:space="preserve">
QuizQuimica</t>
  </si>
  <si>
    <t xml:space="preserve">
VRLab</t>
  </si>
  <si>
    <t>Acessbus</t>
  </si>
  <si>
    <t>Ana Karla Cavalvante Ferreira</t>
  </si>
  <si>
    <t>karla.cavalcante@ifal.edu.br</t>
  </si>
  <si>
    <t>QiWeb</t>
  </si>
  <si>
    <t>Relaxing</t>
  </si>
  <si>
    <t>Flavio Mota Medeiros</t>
  </si>
  <si>
    <t xml:space="preserve">flavio.medeiros@ifal.edu.br </t>
  </si>
  <si>
    <t>ANO DE DEPÓSITO - 2021</t>
  </si>
  <si>
    <t>Francinalva Cordeiro</t>
  </si>
  <si>
    <t>Acompanhamento na Revista</t>
  </si>
  <si>
    <t>CANUDO BIODEGRADÁVEL A PARTIR DE CERA DE ABELHA</t>
  </si>
  <si>
    <t>danielle.lemos@ifal.edu.br</t>
  </si>
  <si>
    <t>ANO</t>
  </si>
  <si>
    <t>Tarsis Marinho de Souza</t>
  </si>
  <si>
    <t>tarsis.souza@ifal.edu.br</t>
  </si>
  <si>
    <t>PI - DEPOSITADAS</t>
  </si>
  <si>
    <t>PI - CONCEDIDAS</t>
  </si>
  <si>
    <t>Concedido</t>
  </si>
  <si>
    <t>TeraMusic</t>
  </si>
  <si>
    <t>Fernando Antônio Guimarães Tenório</t>
  </si>
  <si>
    <t>fernando.tenorio@ifal.edu.br</t>
  </si>
  <si>
    <t>DEPOSITADOS</t>
  </si>
  <si>
    <t>CONCEDIDOS</t>
  </si>
  <si>
    <t>MyMoto</t>
  </si>
  <si>
    <t>Priscylla Maria da Silva Sousa</t>
  </si>
  <si>
    <t>priscylla.sousa@ifal.edu.br</t>
  </si>
  <si>
    <t>TIPO DE PI</t>
  </si>
  <si>
    <t>DEPÓSITOS</t>
  </si>
  <si>
    <t>SISVAC - Sistema de Agendamento de Vacinas</t>
  </si>
  <si>
    <t>Sistema de Recomendação de Adubação e Calagem de Culturas Agrícolas</t>
  </si>
  <si>
    <t>Enio Gomes Flor de Souza</t>
  </si>
  <si>
    <t>enio.souza@ifal.edu.br</t>
  </si>
  <si>
    <t>Smart System</t>
  </si>
  <si>
    <t>Eduardo Frigoletto de Menezes</t>
  </si>
  <si>
    <t>eduardo.frigoletto@ifal.edu.br</t>
  </si>
  <si>
    <t>GesTempo</t>
  </si>
  <si>
    <t>Rossana Viana Gaia</t>
  </si>
  <si>
    <t>rossana.gaia@ifal.edu.br</t>
  </si>
  <si>
    <t>Info PANC</t>
  </si>
  <si>
    <t>Tadeu Patelo Barbosa</t>
  </si>
  <si>
    <t>tadeu.barbosa@ifal.edu.br</t>
  </si>
  <si>
    <t>Ergobio</t>
  </si>
  <si>
    <t>Leonardo Melo de Medeiros</t>
  </si>
  <si>
    <t>leonardo.medeiros@ifal.edu.br</t>
  </si>
  <si>
    <t>PATENTES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</si>
</sst>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9">
    <font>
      <sz val="11.0"/>
      <color rgb="FF000000"/>
      <name val="Calibri"/>
    </font>
    <font>
      <b/>
      <sz val="12.0"/>
      <color rgb="FF000000"/>
      <name val="Times New Roman"/>
    </font>
    <font/>
    <font>
      <b/>
      <sz val="14.0"/>
    </font>
    <font>
      <b/>
      <color rgb="FF000000"/>
      <name val="Arial"/>
    </font>
    <font>
      <name val="Arial"/>
    </font>
    <font>
      <b/>
      <sz val="12.0"/>
      <name val="Calibri"/>
    </font>
    <font>
      <b/>
      <sz val="24.0"/>
      <color rgb="FF000000"/>
      <name val="Arial"/>
    </font>
    <font>
      <b/>
      <sz val="31.0"/>
      <name val="Calibri"/>
    </font>
    <font>
      <b/>
      <sz val="14.0"/>
      <color rgb="FF000000"/>
      <name val="Arial"/>
    </font>
    <font>
      <sz val="14.0"/>
      <color rgb="FF000000"/>
      <name val="Arial"/>
    </font>
    <font>
      <b/>
      <sz val="11.0"/>
      <color rgb="FF000000"/>
      <name val="Arial"/>
    </font>
    <font>
      <b/>
      <sz val="13.0"/>
      <color rgb="FFFFFFFF"/>
    </font>
    <font>
      <b/>
      <sz val="24.0"/>
      <color rgb="FF000000"/>
      <name val="Calibri"/>
    </font>
    <font>
      <sz val="11.0"/>
      <color rgb="FF000000"/>
      <name val="Arial"/>
    </font>
    <font>
      <sz val="13.0"/>
    </font>
    <font>
      <b/>
      <sz val="12.0"/>
      <color rgb="FF000000"/>
      <name val="Arial"/>
    </font>
    <font>
      <sz val="11.0"/>
      <name val="Arial"/>
    </font>
    <font>
      <b/>
      <sz val="17.0"/>
      <color rgb="FF000000"/>
      <name val="Arial"/>
    </font>
    <font>
      <b/>
    </font>
    <font>
      <sz val="17.0"/>
      <name val="Arial"/>
    </font>
    <font>
      <u/>
      <sz val="11.0"/>
      <color rgb="FF000000"/>
      <name val="Arial"/>
    </font>
    <font>
      <b/>
      <sz val="10.0"/>
      <name val="Arial"/>
    </font>
    <font>
      <b/>
      <sz val="13.0"/>
      <color rgb="FF000000"/>
      <name val="Arial"/>
    </font>
    <font>
      <b/>
      <i/>
      <sz val="11.0"/>
      <color rgb="FF000000"/>
      <name val="Arial"/>
    </font>
    <font>
      <sz val="13.0"/>
      <name val="Arial"/>
    </font>
    <font>
      <u/>
      <sz val="11.0"/>
      <color rgb="FF000000"/>
      <name val="Arial"/>
    </font>
    <font>
      <sz val="12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rgb="FF274E13"/>
      <name val="Arial"/>
    </font>
    <font>
      <u/>
      <color rgb="FF0000FF"/>
      <name val="&quot;Google Sans Text&quot;"/>
    </font>
    <font>
      <b/>
      <sz val="12.0"/>
      <color rgb="FFFF0000"/>
    </font>
    <font>
      <b/>
      <sz val="12.0"/>
    </font>
    <font>
      <u/>
      <sz val="11.0"/>
      <color rgb="FF000000"/>
      <name val="Arial"/>
    </font>
    <font>
      <b/>
      <i/>
      <sz val="11.0"/>
      <color rgb="FF0000FF"/>
      <name val="Arial"/>
    </font>
    <font>
      <sz val="11.0"/>
      <color rgb="FFFF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2.0"/>
      <name val="Arial"/>
    </font>
    <font>
      <b/>
      <sz val="11.0"/>
      <name val="Arial"/>
    </font>
    <font>
      <b/>
      <i/>
      <sz val="12.0"/>
      <color rgb="FF0000FF"/>
      <name val="Arial"/>
    </font>
    <font>
      <sz val="11.0"/>
      <color rgb="FF000000"/>
      <name val="Verdana"/>
    </font>
    <font>
      <color rgb="FF000000"/>
    </font>
    <font>
      <b/>
      <sz val="12.0"/>
      <name val="Arial"/>
    </font>
    <font>
      <color rgb="FFFFFFFF"/>
    </font>
    <font>
      <b/>
      <sz val="17.0"/>
      <name val="Arial"/>
    </font>
    <font>
      <sz val="12.0"/>
      <color rgb="FF000000"/>
    </font>
    <font>
      <u/>
      <sz val="12.0"/>
      <color rgb="FF0000FF"/>
      <name val="Arial"/>
    </font>
    <font>
      <i/>
      <sz val="12.0"/>
      <color rgb="FF000000"/>
      <name val="Arial"/>
    </font>
    <font>
      <b/>
      <sz val="12.0"/>
      <color rgb="FF000000"/>
    </font>
    <font>
      <u/>
      <color rgb="FF0000FF"/>
      <name val="&quot;Google Sans Text&quot;"/>
    </font>
    <font>
      <u/>
      <sz val="12.0"/>
      <color rgb="FF000000"/>
      <name val="Arial"/>
    </font>
    <font>
      <u/>
      <sz val="12.0"/>
      <color rgb="FF000000"/>
      <name val="Arial"/>
    </font>
    <font>
      <b/>
      <i/>
      <sz val="12.0"/>
      <color rgb="FF000000"/>
      <name val="Arial"/>
    </font>
    <font>
      <b/>
      <sz val="15.0"/>
    </font>
    <font>
      <b/>
      <sz val="17.0"/>
      <color rgb="FFFF0000"/>
    </font>
    <font>
      <u/>
      <color rgb="FF0000FF"/>
    </font>
    <font>
      <sz val="12.0"/>
      <color rgb="FF0000FF"/>
      <name val="Arial"/>
    </font>
    <font>
      <u/>
      <sz val="12.0"/>
      <color rgb="FF000000"/>
      <name val="Arial"/>
    </font>
    <font>
      <u/>
      <color rgb="FF0000FF"/>
      <name val="&quot;Google Sans Text&quot;"/>
    </font>
    <font>
      <u/>
      <sz val="11.0"/>
      <color rgb="FF000000"/>
      <name val="Arial"/>
    </font>
    <font>
      <u/>
      <sz val="12.0"/>
      <color rgb="FF0000FF"/>
      <name val="Arial"/>
    </font>
    <font>
      <u/>
      <sz val="11.0"/>
      <color rgb="FF000000"/>
      <name val="Arial"/>
    </font>
    <font>
      <u/>
      <sz val="11.0"/>
      <color rgb="FF0000FF"/>
      <name val="Verdana"/>
    </font>
    <font>
      <u/>
      <color rgb="FF0000FF"/>
      <name val="&quot;Google Sans Text&quot;"/>
    </font>
    <font>
      <sz val="11.0"/>
      <color rgb="FF333333"/>
      <name val="Arial"/>
    </font>
    <font>
      <u/>
      <color rgb="FF0000FF"/>
      <name val="Arial"/>
    </font>
    <font>
      <color rgb="FF000000"/>
      <name val="Arial"/>
    </font>
    <font>
      <sz val="12.0"/>
      <color rgb="FF000000"/>
      <name val="Roboto"/>
    </font>
    <font>
      <sz val="12.0"/>
    </font>
    <font>
      <u/>
      <sz val="12.0"/>
      <color rgb="FF0000FF"/>
      <name val="Arial"/>
    </font>
    <font>
      <u/>
      <sz val="11.0"/>
      <color rgb="FF000000"/>
      <name val="Arial"/>
    </font>
    <font>
      <sz val="11.0"/>
      <color rgb="FF0000FF"/>
      <name val="Arial"/>
    </font>
    <font>
      <name val="&quot;Google Sans Text&quot;"/>
    </font>
    <font>
      <u/>
      <color rgb="FF0000FF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1.0"/>
      <color rgb="FF000000"/>
      <name val="Arial"/>
    </font>
    <font>
      <sz val="10.0"/>
      <color rgb="FF000000"/>
      <name val="Verdana"/>
    </font>
    <font>
      <i/>
      <sz val="11.0"/>
      <color rgb="FF000000"/>
      <name val="Arial"/>
    </font>
    <font>
      <u/>
      <sz val="12.0"/>
      <color rgb="FF000000"/>
      <name val="Arial"/>
    </font>
    <font>
      <sz val="12.0"/>
      <color rgb="FF000000"/>
      <name val="Times New Roman"/>
    </font>
    <font>
      <sz val="12.0"/>
      <name val="Times New Roman"/>
    </font>
    <font>
      <b/>
      <sz val="12.0"/>
      <color rgb="FF00B050"/>
      <name val="Times New Roman"/>
    </font>
    <font>
      <u/>
      <sz val="12.0"/>
      <color rgb="FF0000FF"/>
      <name val="Times New Roman"/>
    </font>
    <font>
      <b/>
      <sz val="12.0"/>
      <color rgb="FF000000"/>
      <name val="Calibri"/>
    </font>
    <font>
      <sz val="12.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F8FAFD"/>
        <bgColor rgb="FFF8FAFD"/>
      </patternFill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0F4F9"/>
        <bgColor rgb="FFF0F4F9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  <fill>
      <patternFill patternType="solid">
        <fgColor rgb="FFDBE5F1"/>
        <bgColor rgb="FFDBE5F1"/>
      </patternFill>
    </fill>
  </fills>
  <borders count="4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000000"/>
      </lef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2" numFmtId="0" xfId="0" applyAlignment="1" applyFill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4" fontId="3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5" fontId="4" numFmtId="0" xfId="0" applyAlignment="1" applyBorder="1" applyFill="1" applyFont="1">
      <alignment horizontal="center" shrinkToFit="0" vertical="center" wrapText="1"/>
    </xf>
    <xf borderId="15" fillId="5" fontId="4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16" fillId="6" fontId="5" numFmtId="0" xfId="0" applyAlignment="1" applyBorder="1" applyFill="1" applyFont="1">
      <alignment horizontal="center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5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readingOrder="0" shrinkToFit="0" vertical="center" wrapText="1"/>
    </xf>
    <xf borderId="18" fillId="5" fontId="5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6" fontId="6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7" fillId="2" fontId="7" numFmtId="0" xfId="0" applyAlignment="1" applyBorder="1" applyFont="1">
      <alignment horizontal="center" readingOrder="0" shrinkToFit="0" vertical="center" wrapText="1"/>
    </xf>
    <xf borderId="29" fillId="0" fontId="2" numFmtId="0" xfId="0" applyBorder="1" applyFont="1"/>
    <xf borderId="27" fillId="6" fontId="8" numFmtId="0" xfId="0" applyAlignment="1" applyBorder="1" applyFont="1">
      <alignment horizontal="center" shrinkToFit="0" vertical="center" wrapText="1"/>
    </xf>
    <xf borderId="27" fillId="4" fontId="9" numFmtId="0" xfId="0" applyAlignment="1" applyBorder="1" applyFont="1">
      <alignment horizontal="left" readingOrder="0" shrinkToFit="0" vertical="center" wrapText="1"/>
    </xf>
    <xf borderId="30" fillId="7" fontId="10" numFmtId="0" xfId="0" applyAlignment="1" applyBorder="1" applyFill="1" applyFont="1">
      <alignment horizontal="left" vertical="center"/>
    </xf>
    <xf borderId="30" fillId="6" fontId="11" numFmtId="0" xfId="0" applyAlignment="1" applyBorder="1" applyFont="1">
      <alignment horizontal="left" vertical="center"/>
    </xf>
    <xf borderId="30" fillId="6" fontId="11" numFmtId="0" xfId="0" applyAlignment="1" applyBorder="1" applyFont="1">
      <alignment horizontal="left" readingOrder="0" vertical="center"/>
    </xf>
    <xf borderId="31" fillId="8" fontId="12" numFmtId="0" xfId="0" applyAlignment="1" applyBorder="1" applyFill="1" applyFont="1">
      <alignment horizontal="center" readingOrder="0" shrinkToFit="0" vertical="center" wrapText="1"/>
    </xf>
    <xf borderId="27" fillId="4" fontId="11" numFmtId="0" xfId="0" applyAlignment="1" applyBorder="1" applyFont="1">
      <alignment horizontal="center" readingOrder="0" shrinkToFit="0" vertical="center" wrapText="1"/>
    </xf>
    <xf borderId="27" fillId="2" fontId="13" numFmtId="0" xfId="0" applyAlignment="1" applyBorder="1" applyFont="1">
      <alignment horizontal="center" readingOrder="0" shrinkToFit="0" vertical="center" wrapText="1"/>
    </xf>
    <xf borderId="30" fillId="7" fontId="14" numFmtId="0" xfId="0" applyAlignment="1" applyBorder="1" applyFont="1">
      <alignment horizontal="left" vertical="center"/>
    </xf>
    <xf borderId="32" fillId="0" fontId="2" numFmtId="0" xfId="0" applyBorder="1" applyFont="1"/>
    <xf borderId="30" fillId="3" fontId="11" numFmtId="0" xfId="0" applyAlignment="1" applyBorder="1" applyFont="1">
      <alignment horizontal="center" readingOrder="0" vertical="center"/>
    </xf>
    <xf borderId="30" fillId="3" fontId="14" numFmtId="0" xfId="0" applyAlignment="1" applyBorder="1" applyFont="1">
      <alignment horizontal="center" vertical="center"/>
    </xf>
    <xf borderId="33" fillId="0" fontId="2" numFmtId="0" xfId="0" applyBorder="1" applyFont="1"/>
    <xf borderId="30" fillId="6" fontId="11" numFmtId="0" xfId="0" applyAlignment="1" applyBorder="1" applyFont="1">
      <alignment horizontal="center" vertical="center"/>
    </xf>
    <xf borderId="0" fillId="2" fontId="15" numFmtId="0" xfId="0" applyAlignment="1" applyFont="1">
      <alignment horizontal="center" shrinkToFit="0" vertical="center" wrapText="1"/>
    </xf>
    <xf borderId="30" fillId="6" fontId="16" numFmtId="0" xfId="0" applyAlignment="1" applyBorder="1" applyFont="1">
      <alignment horizontal="center" readingOrder="0" vertical="center"/>
    </xf>
    <xf borderId="0" fillId="3" fontId="15" numFmtId="0" xfId="0" applyAlignment="1" applyFont="1">
      <alignment horizontal="center" shrinkToFit="0" vertical="center" wrapText="1"/>
    </xf>
    <xf borderId="30" fillId="6" fontId="11" numFmtId="0" xfId="0" applyAlignment="1" applyBorder="1" applyFont="1">
      <alignment horizontal="center" readingOrder="0" vertical="center"/>
    </xf>
    <xf borderId="30" fillId="3" fontId="17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readingOrder="0" shrinkToFit="0" vertical="center" wrapText="1"/>
    </xf>
    <xf borderId="30" fillId="0" fontId="14" numFmtId="0" xfId="0" applyAlignment="1" applyBorder="1" applyFont="1">
      <alignment vertical="bottom"/>
    </xf>
    <xf borderId="30" fillId="2" fontId="14" numFmtId="0" xfId="0" applyAlignment="1" applyBorder="1" applyFont="1">
      <alignment readingOrder="0"/>
    </xf>
    <xf borderId="30" fillId="2" fontId="14" numFmtId="0" xfId="0" applyAlignment="1" applyBorder="1" applyFont="1">
      <alignment horizontal="left" vertical="bottom"/>
    </xf>
    <xf borderId="30" fillId="0" fontId="14" numFmtId="0" xfId="0" applyAlignment="1" applyBorder="1" applyFont="1">
      <alignment horizontal="left" vertical="center"/>
    </xf>
    <xf borderId="17" fillId="2" fontId="19" numFmtId="0" xfId="0" applyAlignment="1" applyBorder="1" applyFont="1">
      <alignment horizontal="center" readingOrder="0" shrinkToFit="0" vertical="center" wrapText="1"/>
    </xf>
    <xf borderId="30" fillId="7" fontId="20" numFmtId="0" xfId="0" applyAlignment="1" applyBorder="1" applyFont="1">
      <alignment horizontal="center" vertical="center"/>
    </xf>
    <xf borderId="30" fillId="2" fontId="14" numFmtId="0" xfId="0" applyAlignment="1" applyBorder="1" applyFont="1">
      <alignment horizontal="left" readingOrder="0"/>
    </xf>
    <xf borderId="30" fillId="0" fontId="21" numFmtId="0" xfId="0" applyAlignment="1" applyBorder="1" applyFont="1">
      <alignment horizontal="left" readingOrder="0"/>
    </xf>
    <xf borderId="17" fillId="2" fontId="22" numFmtId="0" xfId="0" applyAlignment="1" applyBorder="1" applyFont="1">
      <alignment horizontal="center" readingOrder="0" shrinkToFit="0" wrapText="1"/>
    </xf>
    <xf borderId="30" fillId="6" fontId="23" numFmtId="0" xfId="0" applyAlignment="1" applyBorder="1" applyFont="1">
      <alignment horizontal="center" vertical="center"/>
    </xf>
    <xf borderId="30" fillId="0" fontId="24" numFmtId="0" xfId="0" applyAlignment="1" applyBorder="1" applyFont="1">
      <alignment horizontal="center" readingOrder="0" vertical="center"/>
    </xf>
    <xf borderId="30" fillId="2" fontId="14" numFmtId="0" xfId="0" applyAlignment="1" applyBorder="1" applyFont="1">
      <alignment horizontal="left" readingOrder="0" vertical="center"/>
    </xf>
    <xf borderId="30" fillId="2" fontId="14" numFmtId="0" xfId="0" applyAlignment="1" applyBorder="1" applyFont="1">
      <alignment horizontal="left" vertical="center"/>
    </xf>
    <xf borderId="30" fillId="6" fontId="16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30" fillId="0" fontId="14" numFmtId="0" xfId="0" applyAlignment="1" applyBorder="1" applyFont="1">
      <alignment horizontal="left" vertical="bottom"/>
    </xf>
    <xf borderId="30" fillId="6" fontId="23" numFmtId="0" xfId="0" applyAlignment="1" applyBorder="1" applyFont="1">
      <alignment horizontal="center" readingOrder="0" vertical="center"/>
    </xf>
    <xf borderId="30" fillId="2" fontId="14" numFmtId="0" xfId="0" applyAlignment="1" applyBorder="1" applyFont="1">
      <alignment horizontal="center" readingOrder="0"/>
    </xf>
    <xf borderId="30" fillId="7" fontId="25" numFmtId="0" xfId="0" applyAlignment="1" applyBorder="1" applyFont="1">
      <alignment horizontal="center" vertical="center"/>
    </xf>
    <xf borderId="30" fillId="3" fontId="16" numFmtId="0" xfId="0" applyAlignment="1" applyBorder="1" applyFont="1">
      <alignment horizontal="center" readingOrder="0" vertical="center"/>
    </xf>
    <xf borderId="30" fillId="2" fontId="26" numFmtId="0" xfId="0" applyAlignment="1" applyBorder="1" applyFont="1">
      <alignment horizontal="left" readingOrder="0"/>
    </xf>
    <xf borderId="16" fillId="5" fontId="19" numFmtId="0" xfId="0" applyAlignment="1" applyBorder="1" applyFont="1">
      <alignment horizontal="center" readingOrder="0" shrinkToFit="0" vertical="center" wrapText="1"/>
    </xf>
    <xf borderId="30" fillId="0" fontId="5" numFmtId="0" xfId="0" applyAlignment="1" applyBorder="1" applyFont="1">
      <alignment horizontal="center" readingOrder="0" shrinkToFit="0" vertical="center" wrapText="1"/>
    </xf>
    <xf borderId="15" fillId="5" fontId="2" numFmtId="0" xfId="0" applyAlignment="1" applyBorder="1" applyFont="1">
      <alignment horizontal="center" readingOrder="0" shrinkToFit="0" vertical="center" wrapText="1"/>
    </xf>
    <xf borderId="30" fillId="0" fontId="27" numFmtId="0" xfId="0" applyAlignment="1" applyBorder="1" applyFont="1">
      <alignment readingOrder="0"/>
    </xf>
    <xf borderId="30" fillId="2" fontId="24" numFmtId="0" xfId="0" applyAlignment="1" applyBorder="1" applyFont="1">
      <alignment horizontal="left" readingOrder="0" vertical="center"/>
    </xf>
    <xf borderId="30" fillId="0" fontId="28" numFmtId="0" xfId="0" applyAlignment="1" applyBorder="1" applyFont="1">
      <alignment horizontal="left" readingOrder="0" shrinkToFit="0" wrapText="0"/>
    </xf>
    <xf borderId="30" fillId="2" fontId="14" numFmtId="0" xfId="0" applyAlignment="1" applyBorder="1" applyFont="1">
      <alignment horizontal="left" vertical="center"/>
    </xf>
    <xf borderId="30" fillId="0" fontId="17" numFmtId="0" xfId="0" applyAlignment="1" applyBorder="1" applyFont="1">
      <alignment horizontal="left" readingOrder="0" vertical="center"/>
    </xf>
    <xf borderId="30" fillId="0" fontId="14" numFmtId="0" xfId="0" applyAlignment="1" applyBorder="1" applyFont="1">
      <alignment horizontal="left" readingOrder="0" vertical="center"/>
    </xf>
    <xf borderId="30" fillId="0" fontId="29" numFmtId="0" xfId="0" applyAlignment="1" applyBorder="1" applyFont="1">
      <alignment horizontal="left" readingOrder="0"/>
    </xf>
    <xf borderId="30" fillId="2" fontId="14" numFmtId="0" xfId="0" applyAlignment="1" applyBorder="1" applyFont="1">
      <alignment horizontal="center" readingOrder="0" vertical="center"/>
    </xf>
    <xf borderId="30" fillId="0" fontId="24" numFmtId="0" xfId="0" applyAlignment="1" applyBorder="1" applyFont="1">
      <alignment horizontal="left" readingOrder="0" vertical="center"/>
    </xf>
    <xf borderId="30" fillId="9" fontId="11" numFmtId="0" xfId="0" applyAlignment="1" applyBorder="1" applyFill="1" applyFont="1">
      <alignment horizontal="center" readingOrder="0" vertical="center"/>
    </xf>
    <xf borderId="30" fillId="0" fontId="14" numFmtId="0" xfId="0" applyAlignment="1" applyBorder="1" applyFont="1">
      <alignment horizontal="left" readingOrder="0"/>
    </xf>
    <xf borderId="30" fillId="9" fontId="30" numFmtId="0" xfId="0" applyAlignment="1" applyBorder="1" applyFont="1">
      <alignment horizontal="center" readingOrder="0"/>
    </xf>
    <xf borderId="30" fillId="0" fontId="31" numFmtId="0" xfId="0" applyAlignment="1" applyBorder="1" applyFont="1">
      <alignment readingOrder="0"/>
    </xf>
    <xf borderId="9" fillId="5" fontId="2" numFmtId="0" xfId="0" applyAlignment="1" applyBorder="1" applyFont="1">
      <alignment horizontal="center" readingOrder="0" shrinkToFit="0" vertical="center" wrapText="1"/>
    </xf>
    <xf borderId="34" fillId="5" fontId="32" numFmtId="0" xfId="0" applyAlignment="1" applyBorder="1" applyFont="1">
      <alignment readingOrder="0"/>
    </xf>
    <xf borderId="35" fillId="5" fontId="33" numFmtId="0" xfId="0" applyAlignment="1" applyBorder="1" applyFont="1">
      <alignment horizontal="center" readingOrder="0" shrinkToFit="0" vertical="center" wrapText="1"/>
    </xf>
    <xf borderId="30" fillId="9" fontId="11" numFmtId="0" xfId="0" applyAlignment="1" applyBorder="1" applyFont="1">
      <alignment horizontal="center" readingOrder="0" vertical="bottom"/>
    </xf>
    <xf borderId="35" fillId="5" fontId="33" numFmtId="0" xfId="0" applyAlignment="1" applyBorder="1" applyFont="1">
      <alignment horizontal="center" shrinkToFit="0" vertical="center" wrapText="1"/>
    </xf>
    <xf borderId="0" fillId="2" fontId="33" numFmtId="0" xfId="0" applyAlignment="1" applyFont="1">
      <alignment horizontal="center" shrinkToFit="0" vertical="center" wrapText="1"/>
    </xf>
    <xf borderId="0" fillId="3" fontId="33" numFmtId="0" xfId="0" applyAlignment="1" applyFont="1">
      <alignment horizontal="center" shrinkToFit="0" vertical="center" wrapText="1"/>
    </xf>
    <xf borderId="18" fillId="0" fontId="2" numFmtId="0" xfId="0" applyBorder="1" applyFont="1"/>
    <xf borderId="30" fillId="10" fontId="34" numFmtId="0" xfId="0" applyAlignment="1" applyBorder="1" applyFill="1" applyFont="1">
      <alignment horizontal="left" readingOrder="0" shrinkToFit="0" wrapText="0"/>
    </xf>
    <xf borderId="30" fillId="0" fontId="35" numFmtId="0" xfId="0" applyAlignment="1" applyBorder="1" applyFont="1">
      <alignment horizontal="center" readingOrder="0" vertical="center"/>
    </xf>
    <xf borderId="30" fillId="9" fontId="24" numFmtId="0" xfId="0" applyAlignment="1" applyBorder="1" applyFont="1">
      <alignment horizontal="center" readingOrder="0" vertical="center"/>
    </xf>
    <xf borderId="30" fillId="9" fontId="14" numFmtId="0" xfId="0" applyAlignment="1" applyBorder="1" applyFont="1">
      <alignment horizontal="left" readingOrder="0"/>
    </xf>
    <xf borderId="30" fillId="9" fontId="36" numFmtId="0" xfId="0" applyAlignment="1" applyBorder="1" applyFont="1">
      <alignment horizontal="center" readingOrder="0"/>
    </xf>
    <xf borderId="30" fillId="9" fontId="14" numFmtId="0" xfId="0" applyAlignment="1" applyBorder="1" applyFont="1">
      <alignment horizontal="center" vertical="center"/>
    </xf>
    <xf borderId="30" fillId="2" fontId="17" numFmtId="0" xfId="0" applyAlignment="1" applyBorder="1" applyFont="1">
      <alignment horizontal="left" readingOrder="0" vertical="center"/>
    </xf>
    <xf borderId="30" fillId="0" fontId="5" numFmtId="0" xfId="0" applyAlignment="1" applyBorder="1" applyFont="1">
      <alignment horizontal="center" readingOrder="0" vertical="center"/>
    </xf>
    <xf borderId="30" fillId="2" fontId="27" numFmtId="0" xfId="0" applyAlignment="1" applyBorder="1" applyFont="1">
      <alignment horizontal="center" readingOrder="0"/>
    </xf>
    <xf borderId="30" fillId="7" fontId="5" numFmtId="0" xfId="0" applyAlignment="1" applyBorder="1" applyFont="1">
      <alignment horizontal="center" vertical="center"/>
    </xf>
    <xf borderId="30" fillId="0" fontId="2" numFmtId="0" xfId="0" applyBorder="1" applyFont="1"/>
    <xf borderId="36" fillId="0" fontId="2" numFmtId="0" xfId="0" applyBorder="1" applyFont="1"/>
    <xf borderId="30" fillId="0" fontId="27" numFmtId="0" xfId="0" applyAlignment="1" applyBorder="1" applyFont="1">
      <alignment horizontal="left" readingOrder="0" vertical="center"/>
    </xf>
    <xf borderId="30" fillId="2" fontId="2" numFmtId="0" xfId="0" applyBorder="1" applyFont="1"/>
    <xf borderId="30" fillId="2" fontId="14" numFmtId="0" xfId="0" applyAlignment="1" applyBorder="1" applyFont="1">
      <alignment horizontal="left" readingOrder="0" vertical="bottom"/>
    </xf>
    <xf borderId="37" fillId="5" fontId="2" numFmtId="0" xfId="0" applyAlignment="1" applyBorder="1" applyFont="1">
      <alignment horizontal="right" readingOrder="0"/>
    </xf>
    <xf borderId="30" fillId="2" fontId="24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30" fillId="2" fontId="27" numFmtId="0" xfId="0" applyAlignment="1" applyBorder="1" applyFont="1">
      <alignment horizontal="left" readingOrder="0"/>
    </xf>
    <xf borderId="30" fillId="2" fontId="17" numFmtId="0" xfId="0" applyAlignment="1" applyBorder="1" applyFont="1">
      <alignment horizontal="left" readingOrder="0"/>
    </xf>
    <xf borderId="30" fillId="2" fontId="37" numFmtId="0" xfId="0" applyAlignment="1" applyBorder="1" applyFont="1">
      <alignment horizontal="left" readingOrder="0"/>
    </xf>
    <xf borderId="30" fillId="2" fontId="14" numFmtId="0" xfId="0" applyAlignment="1" applyBorder="1" applyFont="1">
      <alignment horizontal="center" readingOrder="0" vertical="bottom"/>
    </xf>
    <xf borderId="30" fillId="0" fontId="5" numFmtId="0" xfId="0" applyAlignment="1" applyBorder="1" applyFont="1">
      <alignment horizontal="left" readingOrder="0" vertical="center"/>
    </xf>
    <xf borderId="30" fillId="0" fontId="14" numFmtId="0" xfId="0" applyAlignment="1" applyBorder="1" applyFont="1">
      <alignment horizontal="center" vertical="bottom"/>
    </xf>
    <xf borderId="30" fillId="0" fontId="14" numFmtId="0" xfId="0" applyAlignment="1" applyBorder="1" applyFont="1">
      <alignment horizontal="center" readingOrder="0" vertical="center"/>
    </xf>
    <xf borderId="30" fillId="0" fontId="38" numFmtId="0" xfId="0" applyAlignment="1" applyBorder="1" applyFont="1">
      <alignment horizontal="left" readingOrder="0" shrinkToFit="0" wrapText="0"/>
    </xf>
    <xf borderId="30" fillId="0" fontId="14" numFmtId="0" xfId="0" applyAlignment="1" applyBorder="1" applyFont="1">
      <alignment horizontal="center" vertical="center"/>
    </xf>
    <xf borderId="30" fillId="2" fontId="17" numFmtId="0" xfId="0" applyAlignment="1" applyBorder="1" applyFont="1">
      <alignment horizontal="left"/>
    </xf>
    <xf borderId="30" fillId="2" fontId="14" numFmtId="0" xfId="0" applyAlignment="1" applyBorder="1" applyFont="1">
      <alignment horizontal="left"/>
    </xf>
    <xf borderId="0" fillId="5" fontId="2" numFmtId="0" xfId="0" applyAlignment="1" applyFont="1">
      <alignment horizontal="center" shrinkToFit="0" vertical="center" wrapText="1"/>
    </xf>
    <xf borderId="30" fillId="3" fontId="11" numFmtId="0" xfId="0" applyAlignment="1" applyBorder="1" applyFont="1">
      <alignment horizontal="center" readingOrder="0"/>
    </xf>
    <xf borderId="30" fillId="0" fontId="39" numFmtId="0" xfId="0" applyAlignment="1" applyBorder="1" applyFont="1">
      <alignment horizontal="left" readingOrder="0" vertical="center"/>
    </xf>
    <xf borderId="30" fillId="3" fontId="40" numFmtId="0" xfId="0" applyAlignment="1" applyBorder="1" applyFont="1">
      <alignment horizontal="center" readingOrder="0"/>
    </xf>
    <xf borderId="30" fillId="0" fontId="4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30" fillId="0" fontId="39" numFmtId="0" xfId="0" applyAlignment="1" applyBorder="1" applyFont="1">
      <alignment horizontal="center" vertical="center"/>
    </xf>
    <xf borderId="30" fillId="0" fontId="39" numFmtId="0" xfId="0" applyAlignment="1" applyBorder="1" applyFont="1">
      <alignment horizontal="left" vertical="center"/>
    </xf>
    <xf borderId="30" fillId="0" fontId="5" numFmtId="0" xfId="0" applyAlignment="1" applyBorder="1" applyFont="1">
      <alignment horizontal="center" vertical="center"/>
    </xf>
    <xf borderId="30" fillId="2" fontId="42" numFmtId="0" xfId="0" applyAlignment="1" applyBorder="1" applyFont="1">
      <alignment readingOrder="0"/>
    </xf>
    <xf borderId="30" fillId="2" fontId="43" numFmtId="0" xfId="0" applyAlignment="1" applyBorder="1" applyFont="1">
      <alignment readingOrder="0"/>
    </xf>
    <xf borderId="30" fillId="2" fontId="43" numFmtId="0" xfId="0" applyBorder="1" applyFont="1"/>
    <xf borderId="30" fillId="2" fontId="27" numFmtId="0" xfId="0" applyAlignment="1" applyBorder="1" applyFont="1">
      <alignment vertical="bottom"/>
    </xf>
    <xf borderId="30" fillId="9" fontId="24" numFmtId="0" xfId="0" applyAlignment="1" applyBorder="1" applyFont="1">
      <alignment horizontal="left" readingOrder="0" vertical="center"/>
    </xf>
    <xf borderId="30" fillId="0" fontId="39" numFmtId="0" xfId="0" applyAlignment="1" applyBorder="1" applyFont="1">
      <alignment horizontal="center" readingOrder="0" vertical="center"/>
    </xf>
    <xf borderId="30" fillId="9" fontId="14" numFmtId="0" xfId="0" applyAlignment="1" applyBorder="1" applyFont="1">
      <alignment readingOrder="0"/>
    </xf>
    <xf borderId="30" fillId="9" fontId="14" numFmtId="0" xfId="0" applyAlignment="1" applyBorder="1" applyFont="1">
      <alignment horizontal="center" readingOrder="0"/>
    </xf>
    <xf borderId="30" fillId="2" fontId="27" numFmtId="0" xfId="0" applyAlignment="1" applyBorder="1" applyFont="1">
      <alignment horizontal="left" readingOrder="0" vertical="bottom"/>
    </xf>
    <xf borderId="30" fillId="9" fontId="14" numFmtId="0" xfId="0" applyAlignment="1" applyBorder="1" applyFont="1">
      <alignment horizontal="left"/>
    </xf>
    <xf borderId="30" fillId="3" fontId="44" numFmtId="0" xfId="0" applyAlignment="1" applyBorder="1" applyFont="1">
      <alignment horizontal="center" readingOrder="0"/>
    </xf>
    <xf borderId="37" fillId="11" fontId="43" numFmtId="0" xfId="0" applyAlignment="1" applyBorder="1" applyFill="1" applyFont="1">
      <alignment readingOrder="0"/>
    </xf>
    <xf borderId="0" fillId="11" fontId="43" numFmtId="0" xfId="0" applyAlignment="1" applyFont="1">
      <alignment horizontal="center" readingOrder="0" shrinkToFit="0" vertical="center" wrapText="1"/>
    </xf>
    <xf borderId="0" fillId="11" fontId="43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30" fillId="2" fontId="39" numFmtId="0" xfId="0" applyAlignment="1" applyBorder="1" applyFont="1">
      <alignment horizontal="left" readingOrder="0" vertical="center"/>
    </xf>
    <xf borderId="16" fillId="6" fontId="19" numFmtId="0" xfId="0" applyAlignment="1" applyBorder="1" applyFont="1">
      <alignment horizontal="center" readingOrder="0" shrinkToFit="0" vertical="center" wrapText="1"/>
    </xf>
    <xf borderId="27" fillId="4" fontId="46" numFmtId="0" xfId="0" applyAlignment="1" applyBorder="1" applyFont="1">
      <alignment horizontal="center" readingOrder="0" shrinkToFit="0" vertical="center" wrapText="1"/>
    </xf>
    <xf borderId="15" fillId="6" fontId="2" numFmtId="0" xfId="0" applyAlignment="1" applyBorder="1" applyFont="1">
      <alignment horizontal="center" readingOrder="0" shrinkToFit="0" vertical="center" wrapText="1"/>
    </xf>
    <xf borderId="30" fillId="2" fontId="47" numFmtId="0" xfId="0" applyAlignment="1" applyBorder="1" applyFont="1">
      <alignment horizontal="left" readingOrder="0"/>
    </xf>
    <xf borderId="30" fillId="2" fontId="48" numFmtId="0" xfId="0" applyAlignment="1" applyBorder="1" applyFont="1">
      <alignment readingOrder="0"/>
    </xf>
    <xf borderId="30" fillId="2" fontId="49" numFmtId="0" xfId="0" applyAlignment="1" applyBorder="1" applyFont="1">
      <alignment horizontal="center" readingOrder="0" vertical="center"/>
    </xf>
    <xf borderId="30" fillId="2" fontId="17" numFmtId="0" xfId="0" applyAlignment="1" applyBorder="1" applyFont="1">
      <alignment vertical="bottom"/>
    </xf>
    <xf borderId="30" fillId="2" fontId="27" numFmtId="0" xfId="0" applyAlignment="1" applyBorder="1" applyFont="1">
      <alignment horizontal="left" readingOrder="0" vertical="center"/>
    </xf>
    <xf borderId="30" fillId="2" fontId="39" numFmtId="0" xfId="0" applyAlignment="1" applyBorder="1" applyFont="1">
      <alignment vertical="bottom"/>
    </xf>
    <xf borderId="30" fillId="2" fontId="27" numFmtId="0" xfId="0" applyAlignment="1" applyBorder="1" applyFont="1">
      <alignment horizontal="left" vertical="bottom"/>
    </xf>
    <xf borderId="30" fillId="3" fontId="50" numFmtId="0" xfId="0" applyAlignment="1" applyBorder="1" applyFont="1">
      <alignment horizontal="center" readingOrder="0"/>
    </xf>
    <xf borderId="30" fillId="2" fontId="14" numFmtId="0" xfId="0" applyAlignment="1" applyBorder="1" applyFont="1">
      <alignment vertical="bottom"/>
    </xf>
    <xf borderId="30" fillId="2" fontId="42" numFmtId="0" xfId="0" applyAlignment="1" applyBorder="1" applyFont="1">
      <alignment horizontal="left" readingOrder="0"/>
    </xf>
    <xf borderId="30" fillId="2" fontId="51" numFmtId="0" xfId="0" applyAlignment="1" applyBorder="1" applyFont="1">
      <alignment readingOrder="0"/>
    </xf>
    <xf borderId="30" fillId="2" fontId="52" numFmtId="0" xfId="0" applyAlignment="1" applyBorder="1" applyFont="1">
      <alignment horizontal="center" vertical="bottom"/>
    </xf>
    <xf borderId="30" fillId="3" fontId="27" numFmtId="0" xfId="0" applyAlignment="1" applyBorder="1" applyFont="1">
      <alignment horizontal="center" vertical="center"/>
    </xf>
    <xf borderId="30" fillId="2" fontId="17" numFmtId="0" xfId="0" applyAlignment="1" applyBorder="1" applyFont="1">
      <alignment horizontal="center" vertical="bottom"/>
    </xf>
    <xf borderId="30" fillId="2" fontId="17" numFmtId="0" xfId="0" applyAlignment="1" applyBorder="1" applyFont="1">
      <alignment horizontal="center" vertical="bottom"/>
    </xf>
    <xf borderId="9" fillId="6" fontId="2" numFmtId="0" xfId="0" applyAlignment="1" applyBorder="1" applyFont="1">
      <alignment horizontal="center" readingOrder="0" shrinkToFit="0" vertical="center" wrapText="1"/>
    </xf>
    <xf borderId="30" fillId="2" fontId="5" numFmtId="0" xfId="0" applyAlignment="1" applyBorder="1" applyFont="1">
      <alignment horizontal="left" readingOrder="0" vertical="center"/>
    </xf>
    <xf borderId="37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center" readingOrder="0" shrinkToFit="0" vertical="center" wrapText="1"/>
    </xf>
    <xf borderId="30" fillId="2" fontId="53" numFmtId="0" xfId="0" applyAlignment="1" applyBorder="1" applyFont="1">
      <alignment readingOrder="0"/>
    </xf>
    <xf borderId="30" fillId="2" fontId="54" numFmtId="0" xfId="0" applyAlignment="1" applyBorder="1" applyFont="1">
      <alignment horizontal="left" readingOrder="0" vertical="center"/>
    </xf>
    <xf borderId="30" fillId="2" fontId="39" numFmtId="0" xfId="0" applyAlignment="1" applyBorder="1" applyFont="1">
      <alignment vertical="bottom"/>
    </xf>
    <xf borderId="30" fillId="7" fontId="27" numFmtId="0" xfId="0" applyAlignment="1" applyBorder="1" applyFont="1">
      <alignment horizontal="left" vertical="center"/>
    </xf>
    <xf borderId="30" fillId="2" fontId="17" numFmtId="0" xfId="0" applyAlignment="1" applyBorder="1" applyFont="1">
      <alignment horizontal="center" readingOrder="0" vertical="bottom"/>
    </xf>
    <xf borderId="30" fillId="2" fontId="27" numFmtId="0" xfId="0" applyAlignment="1" applyBorder="1" applyFont="1">
      <alignment horizontal="left" readingOrder="0" shrinkToFit="0" vertical="center" wrapText="1"/>
    </xf>
    <xf borderId="30" fillId="2" fontId="27" numFmtId="0" xfId="0" applyAlignment="1" applyBorder="1" applyFont="1">
      <alignment readingOrder="0"/>
    </xf>
    <xf borderId="30" fillId="2" fontId="39" numFmtId="0" xfId="0" applyAlignment="1" applyBorder="1" applyFont="1">
      <alignment readingOrder="0" vertical="bottom"/>
    </xf>
    <xf borderId="37" fillId="6" fontId="55" numFmtId="0" xfId="0" applyAlignment="1" applyBorder="1" applyFont="1">
      <alignment readingOrder="0"/>
    </xf>
    <xf borderId="0" fillId="2" fontId="56" numFmtId="0" xfId="0" applyAlignment="1" applyFont="1">
      <alignment horizontal="center" readingOrder="0" shrinkToFit="0" vertical="center" wrapText="1"/>
    </xf>
    <xf borderId="30" fillId="2" fontId="27" numFmtId="0" xfId="0" applyAlignment="1" applyBorder="1" applyFont="1">
      <alignment horizontal="center" vertical="bottom"/>
    </xf>
    <xf borderId="30" fillId="2" fontId="57" numFmtId="0" xfId="0" applyAlignment="1" applyBorder="1" applyFont="1">
      <alignment readingOrder="0"/>
    </xf>
    <xf borderId="30" fillId="2" fontId="58" numFmtId="0" xfId="0" applyAlignment="1" applyBorder="1" applyFont="1">
      <alignment readingOrder="0"/>
    </xf>
    <xf borderId="30" fillId="0" fontId="59" numFmtId="0" xfId="0" applyAlignment="1" applyBorder="1" applyFont="1">
      <alignment horizontal="left" readingOrder="0"/>
    </xf>
    <xf borderId="30" fillId="9" fontId="16" numFmtId="0" xfId="0" applyAlignment="1" applyBorder="1" applyFont="1">
      <alignment horizontal="center" readingOrder="0" vertical="center"/>
    </xf>
    <xf borderId="30" fillId="9" fontId="17" numFmtId="0" xfId="0" applyAlignment="1" applyBorder="1" applyFont="1">
      <alignment vertical="bottom"/>
    </xf>
    <xf borderId="30" fillId="2" fontId="27" numFmtId="0" xfId="0" applyAlignment="1" applyBorder="1" applyFont="1">
      <alignment vertical="bottom"/>
    </xf>
    <xf borderId="30" fillId="9" fontId="39" numFmtId="0" xfId="0" applyAlignment="1" applyBorder="1" applyFont="1">
      <alignment vertical="bottom"/>
    </xf>
    <xf borderId="30" fillId="2" fontId="27" numFmtId="0" xfId="0" applyAlignment="1" applyBorder="1" applyFont="1">
      <alignment horizontal="left" vertical="center"/>
    </xf>
    <xf borderId="30" fillId="9" fontId="17" numFmtId="0" xfId="0" applyAlignment="1" applyBorder="1" applyFont="1">
      <alignment horizontal="left" readingOrder="0" vertical="center"/>
    </xf>
    <xf borderId="0" fillId="0" fontId="39" numFmtId="0" xfId="0" applyAlignment="1" applyFont="1">
      <alignment readingOrder="0"/>
    </xf>
    <xf borderId="16" fillId="5" fontId="2" numFmtId="0" xfId="0" applyAlignment="1" applyBorder="1" applyFont="1">
      <alignment horizontal="center" readingOrder="0" shrinkToFit="0" vertical="center" wrapText="1"/>
    </xf>
    <xf borderId="30" fillId="9" fontId="60" numFmtId="0" xfId="0" applyAlignment="1" applyBorder="1" applyFont="1">
      <alignment readingOrder="0"/>
    </xf>
    <xf borderId="30" fillId="9" fontId="35" numFmtId="0" xfId="0" applyAlignment="1" applyBorder="1" applyFont="1">
      <alignment horizontal="center" readingOrder="0" vertical="center"/>
    </xf>
    <xf borderId="30" fillId="0" fontId="27" numFmtId="0" xfId="0" applyAlignment="1" applyBorder="1" applyFont="1">
      <alignment horizontal="left" readingOrder="0"/>
    </xf>
    <xf borderId="30" fillId="9" fontId="17" numFmtId="0" xfId="0" applyAlignment="1" applyBorder="1" applyFont="1">
      <alignment horizontal="center" vertical="bottom"/>
    </xf>
    <xf borderId="30" fillId="9" fontId="36" numFmtId="0" xfId="0" applyAlignment="1" applyBorder="1" applyFont="1">
      <alignment horizontal="center" readingOrder="0" vertical="bottom"/>
    </xf>
    <xf borderId="30" fillId="0" fontId="43" numFmtId="0" xfId="0" applyBorder="1" applyFont="1"/>
    <xf borderId="30" fillId="9" fontId="5" numFmtId="0" xfId="0" applyAlignment="1" applyBorder="1" applyFont="1">
      <alignment horizontal="center" vertical="center"/>
    </xf>
    <xf borderId="30" fillId="3" fontId="16" numFmtId="0" xfId="0" applyAlignment="1" applyBorder="1" applyFont="1">
      <alignment horizontal="center" readingOrder="0"/>
    </xf>
    <xf borderId="27" fillId="4" fontId="11" numFmtId="0" xfId="0" applyAlignment="1" applyBorder="1" applyFont="1">
      <alignment horizontal="left" readingOrder="0" shrinkToFit="0" vertical="center" wrapText="1"/>
    </xf>
    <xf borderId="30" fillId="0" fontId="14" numFmtId="0" xfId="0" applyAlignment="1" applyBorder="1" applyFont="1">
      <alignment horizontal="left" vertical="center"/>
    </xf>
    <xf borderId="30" fillId="9" fontId="61" numFmtId="0" xfId="0" applyAlignment="1" applyBorder="1" applyFont="1">
      <alignment horizontal="center" vertical="bottom"/>
    </xf>
    <xf borderId="30" fillId="2" fontId="5" numFmtId="0" xfId="0" applyAlignment="1" applyBorder="1" applyFont="1">
      <alignment horizontal="center" readingOrder="0" shrinkToFit="0" vertical="center" wrapText="1"/>
    </xf>
    <xf borderId="30" fillId="2" fontId="39" numFmtId="0" xfId="0" applyBorder="1" applyFont="1"/>
    <xf borderId="30" fillId="2" fontId="39" numFmtId="0" xfId="0" applyAlignment="1" applyBorder="1" applyFont="1">
      <alignment horizontal="left"/>
    </xf>
    <xf borderId="30" fillId="2" fontId="39" numFmtId="0" xfId="0" applyAlignment="1" applyBorder="1" applyFont="1">
      <alignment horizontal="center" readingOrder="0" vertical="center"/>
    </xf>
    <xf borderId="30" fillId="0" fontId="39" numFmtId="0" xfId="0" applyBorder="1" applyFont="1"/>
    <xf borderId="30" fillId="2" fontId="5" numFmtId="0" xfId="0" applyAlignment="1" applyBorder="1" applyFont="1">
      <alignment horizontal="center" readingOrder="0" vertical="center"/>
    </xf>
    <xf borderId="27" fillId="12" fontId="11" numFmtId="0" xfId="0" applyAlignment="1" applyBorder="1" applyFill="1" applyFont="1">
      <alignment horizontal="left" readingOrder="0"/>
    </xf>
    <xf borderId="30" fillId="0" fontId="39" numFmtId="0" xfId="0" applyAlignment="1" applyBorder="1" applyFont="1">
      <alignment horizontal="left"/>
    </xf>
    <xf borderId="16" fillId="6" fontId="2" numFmtId="0" xfId="0" applyAlignment="1" applyBorder="1" applyFont="1">
      <alignment horizontal="center" readingOrder="0" shrinkToFit="0" vertical="center" wrapText="1"/>
    </xf>
    <xf borderId="30" fillId="2" fontId="41" numFmtId="0" xfId="0" applyAlignment="1" applyBorder="1" applyFont="1">
      <alignment horizontal="center" readingOrder="0" vertical="center"/>
    </xf>
    <xf borderId="30" fillId="3" fontId="39" numFmtId="0" xfId="0" applyBorder="1" applyFont="1"/>
    <xf borderId="30" fillId="2" fontId="39" numFmtId="0" xfId="0" applyAlignment="1" applyBorder="1" applyFont="1">
      <alignment horizontal="center" vertical="center"/>
    </xf>
    <xf borderId="27" fillId="12" fontId="14" numFmtId="0" xfId="0" applyAlignment="1" applyBorder="1" applyFont="1">
      <alignment horizontal="center" vertical="center"/>
    </xf>
    <xf borderId="30" fillId="2" fontId="16" numFmtId="0" xfId="0" applyAlignment="1" applyBorder="1" applyFont="1">
      <alignment horizontal="center" readingOrder="0" vertical="center"/>
    </xf>
    <xf borderId="30" fillId="2" fontId="5" numFmtId="0" xfId="0" applyAlignment="1" applyBorder="1" applyFont="1">
      <alignment horizontal="center" vertical="center"/>
    </xf>
    <xf borderId="30" fillId="2" fontId="62" numFmtId="0" xfId="0" applyAlignment="1" applyBorder="1" applyFont="1">
      <alignment horizontal="center" readingOrder="0"/>
    </xf>
    <xf borderId="30" fillId="2" fontId="35" numFmtId="0" xfId="0" applyAlignment="1" applyBorder="1" applyFont="1">
      <alignment horizontal="center" readingOrder="0" vertical="center"/>
    </xf>
    <xf borderId="27" fillId="12" fontId="17" numFmtId="0" xfId="0" applyAlignment="1" applyBorder="1" applyFont="1">
      <alignment horizontal="center" readingOrder="0" vertical="center"/>
    </xf>
    <xf borderId="30" fillId="12" fontId="39" numFmtId="0" xfId="0" applyAlignment="1" applyBorder="1" applyFont="1">
      <alignment horizontal="center" vertical="center"/>
    </xf>
    <xf borderId="30" fillId="12" fontId="5" numFmtId="0" xfId="0" applyAlignment="1" applyBorder="1" applyFont="1">
      <alignment horizontal="center" vertical="center"/>
    </xf>
    <xf borderId="30" fillId="2" fontId="63" numFmtId="0" xfId="0" applyAlignment="1" applyBorder="1" applyFont="1">
      <alignment horizontal="left" readingOrder="0" shrinkToFit="0" wrapText="0"/>
    </xf>
    <xf borderId="30" fillId="2" fontId="64" numFmtId="0" xfId="0" applyAlignment="1" applyBorder="1" applyFont="1">
      <alignment readingOrder="0"/>
    </xf>
    <xf borderId="30" fillId="2" fontId="17" numFmtId="0" xfId="0" applyAlignment="1" applyBorder="1" applyFont="1">
      <alignment readingOrder="0"/>
    </xf>
    <xf borderId="30" fillId="2" fontId="65" numFmtId="0" xfId="0" applyAlignment="1" applyBorder="1" applyFont="1">
      <alignment horizontal="left" readingOrder="0"/>
    </xf>
    <xf borderId="30" fillId="3" fontId="20" numFmtId="0" xfId="0" applyAlignment="1" applyBorder="1" applyFont="1">
      <alignment horizontal="center" vertical="center"/>
    </xf>
    <xf borderId="30" fillId="2" fontId="66" numFmtId="0" xfId="0" applyAlignment="1" applyBorder="1" applyFont="1">
      <alignment readingOrder="0"/>
    </xf>
    <xf borderId="30" fillId="3" fontId="5" numFmtId="0" xfId="0" applyAlignment="1" applyBorder="1" applyFont="1">
      <alignment horizontal="center" vertical="center"/>
    </xf>
    <xf borderId="30" fillId="2" fontId="11" numFmtId="0" xfId="0" applyAlignment="1" applyBorder="1" applyFont="1">
      <alignment readingOrder="0"/>
    </xf>
    <xf borderId="30" fillId="2" fontId="5" numFmtId="0" xfId="0" applyAlignment="1" applyBorder="1" applyFont="1">
      <alignment horizontal="left" readingOrder="0"/>
    </xf>
    <xf borderId="30" fillId="2" fontId="17" numFmtId="0" xfId="0" applyAlignment="1" applyBorder="1" applyFont="1">
      <alignment vertical="bottom"/>
    </xf>
    <xf borderId="30" fillId="2" fontId="67" numFmtId="0" xfId="0" applyAlignment="1" applyBorder="1" applyFont="1">
      <alignment readingOrder="0"/>
    </xf>
    <xf borderId="30" fillId="0" fontId="5" numFmtId="0" xfId="0" applyAlignment="1" applyBorder="1" applyFont="1">
      <alignment horizontal="left" vertical="center"/>
    </xf>
    <xf borderId="30" fillId="0" fontId="68" numFmtId="0" xfId="0" applyAlignment="1" applyBorder="1" applyFont="1">
      <alignment horizontal="center" readingOrder="0" vertical="center"/>
    </xf>
    <xf borderId="30" fillId="0" fontId="68" numFmtId="0" xfId="0" applyAlignment="1" applyBorder="1" applyFont="1">
      <alignment horizontal="left" readingOrder="0" vertical="center"/>
    </xf>
    <xf borderId="30" fillId="7" fontId="68" numFmtId="0" xfId="0" applyAlignment="1" applyBorder="1" applyFont="1">
      <alignment horizontal="center" vertical="center"/>
    </xf>
    <xf borderId="30" fillId="2" fontId="39" numFmtId="0" xfId="0" applyAlignment="1" applyBorder="1" applyFont="1">
      <alignment horizontal="left" readingOrder="0"/>
    </xf>
    <xf borderId="30" fillId="2" fontId="68" numFmtId="0" xfId="0" applyAlignment="1" applyBorder="1" applyFont="1">
      <alignment horizontal="center" readingOrder="0" vertical="center"/>
    </xf>
    <xf borderId="30" fillId="2" fontId="68" numFmtId="0" xfId="0" applyAlignment="1" applyBorder="1" applyFont="1">
      <alignment horizontal="left" readingOrder="0" vertical="center"/>
    </xf>
    <xf borderId="30" fillId="2" fontId="68" numFmtId="0" xfId="0" applyAlignment="1" applyBorder="1" applyFont="1">
      <alignment horizontal="center" vertical="center"/>
    </xf>
    <xf borderId="30" fillId="9" fontId="14" numFmtId="0" xfId="0" applyAlignment="1" applyBorder="1" applyFont="1">
      <alignment vertical="bottom"/>
    </xf>
    <xf borderId="30" fillId="2" fontId="36" numFmtId="0" xfId="0" applyAlignment="1" applyBorder="1" applyFont="1">
      <alignment horizontal="center" readingOrder="0"/>
    </xf>
    <xf borderId="30" fillId="9" fontId="17" numFmtId="0" xfId="0" applyAlignment="1" applyBorder="1" applyFont="1">
      <alignment readingOrder="0"/>
    </xf>
    <xf borderId="30" fillId="2" fontId="27" numFmtId="0" xfId="0" applyAlignment="1" applyBorder="1" applyFont="1">
      <alignment readingOrder="0"/>
    </xf>
    <xf borderId="30" fillId="9" fontId="68" numFmtId="0" xfId="0" applyAlignment="1" applyBorder="1" applyFont="1">
      <alignment horizontal="center" readingOrder="0" vertical="center"/>
    </xf>
    <xf borderId="27" fillId="12" fontId="44" numFmtId="0" xfId="0" applyAlignment="1" applyBorder="1" applyFont="1">
      <alignment horizontal="center" readingOrder="0"/>
    </xf>
    <xf borderId="30" fillId="2" fontId="25" numFmtId="0" xfId="0" applyAlignment="1" applyBorder="1" applyFont="1">
      <alignment horizontal="left" readingOrder="0"/>
    </xf>
    <xf borderId="30" fillId="9" fontId="68" numFmtId="0" xfId="0" applyAlignment="1" applyBorder="1" applyFont="1">
      <alignment horizontal="left" readingOrder="0" vertical="center"/>
    </xf>
    <xf borderId="30" fillId="9" fontId="14" numFmtId="0" xfId="0" applyAlignment="1" applyBorder="1" applyFont="1">
      <alignment horizontal="center" vertical="bottom"/>
    </xf>
    <xf borderId="30" fillId="2" fontId="27" numFmtId="0" xfId="0" applyAlignment="1" applyBorder="1" applyFont="1">
      <alignment horizontal="center" readingOrder="0" vertical="center"/>
    </xf>
    <xf borderId="30" fillId="9" fontId="68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left"/>
    </xf>
    <xf borderId="30" fillId="2" fontId="69" numFmtId="0" xfId="0" applyBorder="1" applyFont="1"/>
    <xf borderId="30" fillId="3" fontId="2" numFmtId="0" xfId="0" applyBorder="1" applyFont="1"/>
    <xf borderId="30" fillId="0" fontId="70" numFmtId="0" xfId="0" applyBorder="1" applyFont="1"/>
    <xf borderId="30" fillId="9" fontId="16" numFmtId="0" xfId="0" applyAlignment="1" applyBorder="1" applyFont="1">
      <alignment horizontal="center" readingOrder="0"/>
    </xf>
    <xf borderId="0" fillId="0" fontId="19" numFmtId="0" xfId="0" applyAlignment="1" applyFont="1">
      <alignment horizontal="center" shrinkToFit="0" vertical="center" wrapText="1"/>
    </xf>
    <xf borderId="30" fillId="2" fontId="14" numFmtId="0" xfId="0" applyAlignment="1" applyBorder="1" applyFont="1">
      <alignment horizontal="center" vertical="bottom"/>
    </xf>
    <xf borderId="0" fillId="3" fontId="19" numFmtId="0" xfId="0" applyAlignment="1" applyFont="1">
      <alignment horizontal="center" shrinkToFit="0" vertical="center" wrapText="1"/>
    </xf>
    <xf borderId="30" fillId="2" fontId="14" numFmtId="0" xfId="0" applyAlignment="1" applyBorder="1" applyFont="1">
      <alignment horizontal="center" vertical="bottom"/>
    </xf>
    <xf borderId="30" fillId="0" fontId="71" numFmtId="0" xfId="0" applyAlignment="1" applyBorder="1" applyFont="1">
      <alignment readingOrder="0"/>
    </xf>
    <xf borderId="30" fillId="3" fontId="39" numFmtId="0" xfId="0" applyAlignment="1" applyBorder="1" applyFont="1">
      <alignment horizontal="center" vertical="center"/>
    </xf>
    <xf borderId="30" fillId="2" fontId="39" numFmtId="0" xfId="0" applyAlignment="1" applyBorder="1" applyFont="1">
      <alignment horizontal="left" vertical="bottom"/>
    </xf>
    <xf borderId="30" fillId="2" fontId="39" numFmtId="0" xfId="0" applyAlignment="1" applyBorder="1" applyFont="1">
      <alignment horizontal="center" vertical="bottom"/>
    </xf>
    <xf borderId="30" fillId="9" fontId="72" numFmtId="0" xfId="0" applyAlignment="1" applyBorder="1" applyFont="1">
      <alignment horizontal="left" readingOrder="0" shrinkToFit="0" wrapText="0"/>
    </xf>
    <xf borderId="30" fillId="2" fontId="73" numFmtId="0" xfId="0" applyAlignment="1" applyBorder="1" applyFont="1">
      <alignment readingOrder="0"/>
    </xf>
    <xf borderId="30" fillId="0" fontId="27" numFmtId="0" xfId="0" applyAlignment="1" applyBorder="1" applyFont="1">
      <alignment horizontal="center" readingOrder="0"/>
    </xf>
    <xf borderId="30" fillId="2" fontId="39" numFmtId="0" xfId="0" applyAlignment="1" applyBorder="1" applyFont="1">
      <alignment readingOrder="0"/>
    </xf>
    <xf borderId="30" fillId="0" fontId="39" numFmtId="0" xfId="0" applyAlignment="1" applyBorder="1" applyFont="1">
      <alignment horizontal="left" readingOrder="0"/>
    </xf>
    <xf borderId="30" fillId="0" fontId="74" numFmtId="0" xfId="0" applyAlignment="1" applyBorder="1" applyFont="1">
      <alignment readingOrder="0"/>
    </xf>
    <xf borderId="30" fillId="13" fontId="69" numFmtId="0" xfId="0" applyBorder="1" applyFill="1" applyFont="1"/>
    <xf borderId="27" fillId="2" fontId="16" numFmtId="0" xfId="0" applyAlignment="1" applyBorder="1" applyFont="1">
      <alignment horizontal="center" readingOrder="0" shrinkToFit="0" vertical="center" wrapText="1"/>
    </xf>
    <xf borderId="30" fillId="0" fontId="25" numFmtId="0" xfId="0" applyAlignment="1" applyBorder="1" applyFont="1">
      <alignment horizontal="left" readingOrder="0"/>
    </xf>
    <xf borderId="27" fillId="4" fontId="16" numFmtId="0" xfId="0" applyAlignment="1" applyBorder="1" applyFont="1">
      <alignment horizontal="center" readingOrder="0" shrinkToFit="0" vertical="center" wrapText="1"/>
    </xf>
    <xf borderId="30" fillId="2" fontId="39" numFmtId="0" xfId="0" applyAlignment="1" applyBorder="1" applyFont="1">
      <alignment horizontal="center" readingOrder="0" vertical="bottom"/>
    </xf>
    <xf borderId="0" fillId="9" fontId="27" numFmtId="0" xfId="0" applyAlignment="1" applyFont="1">
      <alignment readingOrder="0"/>
    </xf>
    <xf borderId="0" fillId="9" fontId="27" numFmtId="0" xfId="0" applyAlignment="1" applyFont="1">
      <alignment readingOrder="0" shrinkToFit="0" wrapText="0"/>
    </xf>
    <xf borderId="30" fillId="9" fontId="39" numFmtId="0" xfId="0" applyAlignment="1" applyBorder="1" applyFont="1">
      <alignment horizontal="left" readingOrder="0" vertical="center"/>
    </xf>
    <xf borderId="30" fillId="9" fontId="27" numFmtId="0" xfId="0" applyAlignment="1" applyBorder="1" applyFont="1">
      <alignment readingOrder="0"/>
    </xf>
    <xf borderId="30" fillId="0" fontId="75" numFmtId="0" xfId="0" applyAlignment="1" applyBorder="1" applyFont="1">
      <alignment readingOrder="0"/>
    </xf>
    <xf borderId="30" fillId="9" fontId="41" numFmtId="0" xfId="0" applyAlignment="1" applyBorder="1" applyFont="1">
      <alignment horizontal="center" readingOrder="0" vertical="center"/>
    </xf>
    <xf borderId="30" fillId="2" fontId="76" numFmtId="0" xfId="0" applyAlignment="1" applyBorder="1" applyFont="1">
      <alignment readingOrder="0"/>
    </xf>
    <xf borderId="30" fillId="9" fontId="39" numFmtId="0" xfId="0" applyAlignment="1" applyBorder="1" applyFont="1">
      <alignment horizontal="center" vertical="center"/>
    </xf>
    <xf borderId="30" fillId="2" fontId="17" numFmtId="0" xfId="0" applyAlignment="1" applyBorder="1" applyFont="1">
      <alignment readingOrder="0" vertical="bottom"/>
    </xf>
    <xf borderId="30" fillId="0" fontId="77" numFmtId="0" xfId="0" applyAlignment="1" applyBorder="1" applyFont="1">
      <alignment horizontal="left" readingOrder="0"/>
    </xf>
    <xf borderId="0" fillId="2" fontId="78" numFmtId="0" xfId="0" applyAlignment="1" applyFont="1">
      <alignment readingOrder="0"/>
    </xf>
    <xf borderId="30" fillId="2" fontId="79" numFmtId="0" xfId="0" applyAlignment="1" applyBorder="1" applyFont="1">
      <alignment vertical="bottom"/>
    </xf>
    <xf borderId="30" fillId="2" fontId="39" numFmtId="0" xfId="0" applyAlignment="1" applyBorder="1" applyFont="1">
      <alignment horizontal="center" vertical="bottom"/>
    </xf>
    <xf borderId="30" fillId="0" fontId="39" numFmtId="0" xfId="0" applyAlignment="1" applyBorder="1" applyFont="1">
      <alignment horizontal="center" readingOrder="0" shrinkToFit="0" vertical="center" wrapText="1"/>
    </xf>
    <xf borderId="30" fillId="0" fontId="39" numFmtId="0" xfId="0" applyAlignment="1" applyBorder="1" applyFont="1">
      <alignment readingOrder="0"/>
    </xf>
    <xf borderId="30" fillId="2" fontId="27" numFmtId="0" xfId="0" applyBorder="1" applyFont="1"/>
    <xf borderId="38" fillId="2" fontId="27" numFmtId="0" xfId="0" applyAlignment="1" applyBorder="1" applyFont="1">
      <alignment horizontal="left" readingOrder="0"/>
    </xf>
    <xf borderId="38" fillId="2" fontId="27" numFmtId="0" xfId="0" applyAlignment="1" applyBorder="1" applyFont="1">
      <alignment horizontal="left" readingOrder="0" vertical="center"/>
    </xf>
    <xf borderId="0" fillId="0" fontId="39" numFmtId="0" xfId="0" applyFont="1"/>
    <xf borderId="27" fillId="3" fontId="16" numFmtId="0" xfId="0" applyAlignment="1" applyBorder="1" applyFont="1">
      <alignment horizontal="center" readingOrder="0" vertical="center"/>
    </xf>
    <xf borderId="28" fillId="0" fontId="41" numFmtId="0" xfId="0" applyAlignment="1" applyBorder="1" applyFont="1">
      <alignment horizontal="center" readingOrder="0" vertical="center"/>
    </xf>
    <xf borderId="30" fillId="2" fontId="39" numFmtId="0" xfId="0" applyAlignment="1" applyBorder="1" applyFont="1">
      <alignment horizontal="center" readingOrder="0" shrinkToFit="0" vertical="center" wrapText="1"/>
    </xf>
    <xf borderId="39" fillId="2" fontId="39" numFmtId="0" xfId="0" applyBorder="1" applyFont="1"/>
    <xf borderId="27" fillId="12" fontId="39" numFmtId="0" xfId="0" applyAlignment="1" applyBorder="1" applyFont="1">
      <alignment horizontal="center" vertical="center"/>
    </xf>
    <xf borderId="27" fillId="4" fontId="44" numFmtId="0" xfId="0" applyAlignment="1" applyBorder="1" applyFont="1">
      <alignment horizontal="center" readingOrder="0" shrinkToFit="0" vertical="center" wrapText="1"/>
    </xf>
    <xf borderId="30" fillId="2" fontId="27" numFmtId="0" xfId="0" applyAlignment="1" applyBorder="1" applyFont="1">
      <alignment readingOrder="0" vertical="bottom"/>
    </xf>
    <xf borderId="30" fillId="0" fontId="27" numFmtId="0" xfId="0" applyBorder="1" applyFont="1"/>
    <xf borderId="30" fillId="3" fontId="27" numFmtId="0" xfId="0" applyBorder="1" applyFont="1"/>
    <xf borderId="30" fillId="2" fontId="27" numFmtId="0" xfId="0" applyAlignment="1" applyBorder="1" applyFont="1">
      <alignment readingOrder="0" vertical="bottom"/>
    </xf>
    <xf borderId="30" fillId="2" fontId="27" numFmtId="0" xfId="0" applyAlignment="1" applyBorder="1" applyFont="1">
      <alignment horizontal="center" vertical="center"/>
    </xf>
    <xf borderId="30" fillId="2" fontId="27" numFmtId="0" xfId="0" applyAlignment="1" applyBorder="1" applyFont="1">
      <alignment horizontal="left" readingOrder="0" vertical="bottom"/>
    </xf>
    <xf borderId="40" fillId="14" fontId="13" numFmtId="0" xfId="0" applyAlignment="1" applyBorder="1" applyFill="1" applyFont="1">
      <alignment horizontal="center" readingOrder="0" shrinkToFit="0" vertical="center" wrapText="1"/>
    </xf>
    <xf borderId="41" fillId="0" fontId="2" numFmtId="0" xfId="0" applyBorder="1" applyFont="1"/>
    <xf borderId="30" fillId="15" fontId="39" numFmtId="0" xfId="0" applyAlignment="1" applyBorder="1" applyFill="1" applyFont="1">
      <alignment vertical="bottom"/>
    </xf>
    <xf borderId="42" fillId="0" fontId="2" numFmtId="0" xfId="0" applyBorder="1" applyFont="1"/>
    <xf borderId="30" fillId="2" fontId="80" numFmtId="0" xfId="0" applyAlignment="1" applyBorder="1" applyFont="1">
      <alignment readingOrder="0"/>
    </xf>
    <xf borderId="30" fillId="2" fontId="80" numFmtId="0" xfId="0" applyAlignment="1" applyBorder="1" applyFont="1">
      <alignment horizontal="left" readingOrder="0"/>
    </xf>
    <xf borderId="30" fillId="2" fontId="39" numFmtId="0" xfId="0" applyAlignment="1" applyBorder="1" applyFont="1">
      <alignment horizontal="center" readingOrder="0"/>
    </xf>
    <xf borderId="30" fillId="0" fontId="43" numFmtId="0" xfId="0" applyAlignment="1" applyBorder="1" applyFont="1">
      <alignment readingOrder="0"/>
    </xf>
    <xf borderId="30" fillId="3" fontId="43" numFmtId="0" xfId="0" applyBorder="1" applyFont="1"/>
    <xf borderId="30" fillId="2" fontId="14" numFmtId="0" xfId="0" applyAlignment="1" applyBorder="1" applyFont="1">
      <alignment horizontal="left" readingOrder="0" shrinkToFit="0" vertical="center" wrapText="1"/>
    </xf>
    <xf borderId="30" fillId="2" fontId="39" numFmtId="0" xfId="0" applyAlignment="1" applyBorder="1" applyFont="1">
      <alignment horizontal="left" vertical="center"/>
    </xf>
    <xf borderId="30" fillId="3" fontId="68" numFmtId="0" xfId="0" applyAlignment="1" applyBorder="1" applyFont="1">
      <alignment horizontal="center" vertical="center"/>
    </xf>
    <xf borderId="30" fillId="2" fontId="81" numFmtId="0" xfId="0" applyAlignment="1" applyBorder="1" applyFont="1">
      <alignment horizontal="center" readingOrder="0" vertical="center"/>
    </xf>
    <xf borderId="30" fillId="0" fontId="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0" fontId="70" numFmtId="0" xfId="0" applyAlignment="1" applyFont="1">
      <alignment horizontal="center" vertical="center"/>
    </xf>
    <xf borderId="43" fillId="4" fontId="1" numFmtId="0" xfId="0" applyAlignment="1" applyBorder="1" applyFont="1">
      <alignment horizontal="center" readingOrder="0" shrinkToFit="0" vertical="center" wrapText="1"/>
    </xf>
    <xf borderId="44" fillId="0" fontId="2" numFmtId="0" xfId="0" applyBorder="1" applyFont="1"/>
    <xf borderId="45" fillId="0" fontId="2" numFmtId="0" xfId="0" applyBorder="1" applyFont="1"/>
    <xf borderId="30" fillId="0" fontId="39" numFmtId="0" xfId="0" applyAlignment="1" applyBorder="1" applyFont="1">
      <alignment horizontal="center" readingOrder="0"/>
    </xf>
    <xf borderId="12" fillId="5" fontId="1" numFmtId="0" xfId="0" applyAlignment="1" applyBorder="1" applyFont="1">
      <alignment horizontal="center" readingOrder="0" shrinkToFit="0" vertical="center" wrapText="1"/>
    </xf>
    <xf borderId="30" fillId="2" fontId="82" numFmtId="0" xfId="0" applyAlignment="1" applyBorder="1" applyFont="1">
      <alignment horizontal="center" readingOrder="0"/>
    </xf>
    <xf borderId="31" fillId="2" fontId="1" numFmtId="0" xfId="0" applyAlignment="1" applyBorder="1" applyFont="1">
      <alignment horizontal="center" readingOrder="0" shrinkToFit="0" vertical="center" wrapText="1"/>
    </xf>
    <xf borderId="15" fillId="16" fontId="1" numFmtId="0" xfId="0" applyAlignment="1" applyBorder="1" applyFill="1" applyFont="1">
      <alignment horizontal="center" vertical="center"/>
    </xf>
    <xf borderId="15" fillId="16" fontId="1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shrinkToFit="0" vertical="center" wrapText="1"/>
    </xf>
    <xf borderId="15" fillId="0" fontId="83" numFmtId="0" xfId="0" applyAlignment="1" applyBorder="1" applyFont="1">
      <alignment horizontal="center" vertical="center"/>
    </xf>
    <xf borderId="0" fillId="12" fontId="2" numFmtId="0" xfId="0" applyAlignment="1" applyFont="1">
      <alignment horizontal="center" shrinkToFit="0" vertical="center" wrapText="1"/>
    </xf>
    <xf borderId="15" fillId="0" fontId="83" numFmtId="0" xfId="0" applyAlignment="1" applyBorder="1" applyFont="1">
      <alignment horizontal="center" readingOrder="0" shrinkToFit="0" vertical="center" wrapText="1"/>
    </xf>
    <xf borderId="15" fillId="0" fontId="84" numFmtId="0" xfId="0" applyAlignment="1" applyBorder="1" applyFont="1">
      <alignment horizontal="center" readingOrder="0" vertical="center"/>
    </xf>
    <xf borderId="15" fillId="0" fontId="85" numFmtId="0" xfId="0" applyAlignment="1" applyBorder="1" applyFont="1">
      <alignment horizontal="center" vertical="center"/>
    </xf>
    <xf borderId="15" fillId="0" fontId="83" numFmtId="0" xfId="0" applyAlignment="1" applyBorder="1" applyFont="1">
      <alignment horizontal="center" readingOrder="0" vertical="center"/>
    </xf>
    <xf borderId="31" fillId="5" fontId="1" numFmtId="0" xfId="0" applyAlignment="1" applyBorder="1" applyFont="1">
      <alignment horizontal="center" readingOrder="0" shrinkToFit="0" vertical="center" wrapText="1"/>
    </xf>
    <xf borderId="15" fillId="0" fontId="86" numFmtId="0" xfId="0" applyAlignment="1" applyBorder="1" applyFont="1">
      <alignment horizontal="center" vertical="center"/>
    </xf>
    <xf borderId="0" fillId="2" fontId="87" numFmtId="0" xfId="0" applyAlignment="1" applyFont="1">
      <alignment horizontal="center" readingOrder="0" shrinkToFit="0" vertical="center" wrapText="1"/>
    </xf>
    <xf borderId="15" fillId="0" fontId="83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readingOrder="0" vertical="center"/>
    </xf>
    <xf borderId="15" fillId="2" fontId="83" numFmtId="0" xfId="0" applyAlignment="1" applyBorder="1" applyFont="1">
      <alignment horizontal="center" readingOrder="0" vertical="center"/>
    </xf>
    <xf borderId="15" fillId="0" fontId="83" numFmtId="0" xfId="0" applyAlignment="1" applyBorder="1" applyFont="1">
      <alignment horizontal="center" readingOrder="0" shrinkToFit="0" vertical="center" wrapText="1"/>
    </xf>
    <xf borderId="15" fillId="16" fontId="87" numFmtId="0" xfId="0" applyAlignment="1" applyBorder="1" applyFont="1">
      <alignment horizontal="center" readingOrder="0" vertical="center"/>
    </xf>
    <xf borderId="15" fillId="0" fontId="83" numFmtId="0" xfId="0" applyAlignment="1" applyBorder="1" applyFont="1">
      <alignment horizontal="center" vertical="center"/>
    </xf>
    <xf borderId="15" fillId="0" fontId="83" numFmtId="0" xfId="0" applyAlignment="1" applyBorder="1" applyFont="1">
      <alignment horizontal="center" shrinkToFit="0" vertical="center" wrapText="0"/>
    </xf>
    <xf borderId="15" fillId="2" fontId="84" numFmtId="0" xfId="0" applyAlignment="1" applyBorder="1" applyFont="1">
      <alignment horizontal="center" readingOrder="0" vertical="center"/>
    </xf>
    <xf borderId="15" fillId="0" fontId="83" numFmtId="0" xfId="0" applyAlignment="1" applyBorder="1" applyFont="1">
      <alignment horizontal="center" shrinkToFit="0" vertical="center" wrapText="1"/>
    </xf>
    <xf borderId="15" fillId="2" fontId="84" numFmtId="0" xfId="0" applyAlignment="1" applyBorder="1" applyFont="1">
      <alignment horizontal="center" readingOrder="0" shrinkToFit="0" vertical="center" wrapText="0"/>
    </xf>
    <xf borderId="15" fillId="0" fontId="84" numFmtId="0" xfId="0" applyAlignment="1" applyBorder="1" applyFont="1">
      <alignment horizontal="center" vertical="center"/>
    </xf>
    <xf borderId="15" fillId="2" fontId="83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readingOrder="0" vertical="center"/>
    </xf>
    <xf borderId="33" fillId="0" fontId="85" numFmtId="0" xfId="0" applyAlignment="1" applyBorder="1" applyFont="1">
      <alignment horizontal="center" vertical="center"/>
    </xf>
    <xf borderId="33" fillId="0" fontId="83" numFmtId="0" xfId="0" applyAlignment="1" applyBorder="1" applyFont="1">
      <alignment horizontal="center" shrinkToFit="0" vertical="center" wrapText="1"/>
    </xf>
    <xf borderId="33" fillId="2" fontId="83" numFmtId="0" xfId="0" applyAlignment="1" applyBorder="1" applyFont="1">
      <alignment horizontal="center" vertical="center"/>
    </xf>
    <xf borderId="17" fillId="0" fontId="83" numFmtId="0" xfId="0" applyAlignment="1" applyBorder="1" applyFont="1">
      <alignment horizontal="center" readingOrder="0" vertical="center"/>
    </xf>
    <xf borderId="14" fillId="0" fontId="83" numFmtId="0" xfId="0" applyAlignment="1" applyBorder="1" applyFont="1">
      <alignment horizontal="center" shrinkToFit="0" vertical="center" wrapText="1"/>
    </xf>
    <xf borderId="14" fillId="2" fontId="83" numFmtId="0" xfId="0" applyAlignment="1" applyBorder="1" applyFont="1">
      <alignment horizontal="center" vertical="center"/>
    </xf>
    <xf borderId="14" fillId="0" fontId="85" numFmtId="0" xfId="0" applyAlignment="1" applyBorder="1" applyFont="1">
      <alignment horizontal="center" vertical="center"/>
    </xf>
    <xf borderId="15" fillId="0" fontId="84" numFmtId="0" xfId="0" applyAlignment="1" applyBorder="1" applyFont="1">
      <alignment horizontal="center" shrinkToFit="0" vertical="center" wrapText="1"/>
    </xf>
    <xf borderId="15" fillId="0" fontId="85" numFmtId="0" xfId="0" applyAlignment="1" applyBorder="1" applyFont="1">
      <alignment horizontal="center" shrinkToFit="0" vertical="center" wrapText="1"/>
    </xf>
    <xf borderId="15" fillId="2" fontId="84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17" fillId="16" fontId="1" numFmtId="0" xfId="0" applyAlignment="1" applyBorder="1" applyFont="1">
      <alignment horizontal="center" vertical="center"/>
    </xf>
    <xf borderId="14" fillId="16" fontId="1" numFmtId="0" xfId="0" applyAlignment="1" applyBorder="1" applyFont="1">
      <alignment horizontal="center" vertical="center"/>
    </xf>
    <xf borderId="17" fillId="0" fontId="83" numFmtId="0" xfId="0" applyAlignment="1" applyBorder="1" applyFont="1">
      <alignment horizontal="center" vertical="center"/>
    </xf>
    <xf borderId="14" fillId="0" fontId="83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vertical="center"/>
    </xf>
    <xf borderId="14" fillId="0" fontId="83" numFmtId="0" xfId="0" applyAlignment="1" applyBorder="1" applyFont="1">
      <alignment horizontal="center" readingOrder="0" shrinkToFit="0" vertical="center" wrapText="1"/>
    </xf>
    <xf borderId="14" fillId="2" fontId="83" numFmtId="0" xfId="0" applyAlignment="1" applyBorder="1" applyFont="1">
      <alignment horizontal="center" readingOrder="0" vertical="center"/>
    </xf>
    <xf borderId="15" fillId="2" fontId="83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vertical="center"/>
    </xf>
    <xf borderId="14" fillId="0" fontId="84" numFmtId="0" xfId="0" applyAlignment="1" applyBorder="1" applyFont="1">
      <alignment horizontal="center" readingOrder="0" shrinkToFit="0" vertical="center" wrapText="1"/>
    </xf>
    <xf borderId="14" fillId="0" fontId="8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/>
    </xf>
    <xf borderId="17" fillId="0" fontId="83" numFmtId="0" xfId="0" applyAlignment="1" applyBorder="1" applyFont="1">
      <alignment horizontal="center" shrinkToFit="0" vertical="center" wrapText="1"/>
    </xf>
    <xf borderId="14" fillId="0" fontId="83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17" fillId="0" fontId="83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>
        <b/>
      </font>
      <fill>
        <patternFill patternType="none"/>
      </fill>
      <border/>
    </dxf>
    <dxf>
      <font>
        <color rgb="FF9C0006"/>
      </font>
      <fill>
        <patternFill patternType="none"/>
      </fill>
      <border/>
    </dxf>
    <dxf>
      <font>
        <b/>
        <color rgb="FF00B050"/>
      </font>
      <fill>
        <patternFill patternType="none"/>
      </fill>
      <border/>
    </dxf>
    <dxf>
      <font>
        <b/>
        <color rgb="FF7030A0"/>
      </font>
      <fill>
        <patternFill patternType="none"/>
      </fill>
      <border/>
    </dxf>
    <dxf>
      <font>
        <b/>
        <color rgb="FF17365D"/>
      </font>
      <fill>
        <patternFill patternType="none"/>
      </fill>
      <border/>
    </dxf>
    <dxf>
      <font>
        <b/>
        <color rgb="FF494429"/>
      </font>
      <fill>
        <patternFill patternType="none"/>
      </fill>
      <border/>
    </dxf>
    <dxf>
      <font>
        <b/>
        <color rgb="FFFFC000"/>
      </font>
      <fill>
        <patternFill patternType="none"/>
      </fill>
      <border/>
    </dxf>
    <dxf>
      <font>
        <b/>
        <color rgb="FF974806"/>
      </font>
      <fill>
        <patternFill patternType="none"/>
      </fill>
      <border/>
    </dxf>
    <dxf>
      <font>
        <i/>
        <color rgb="FFFF0000"/>
      </font>
      <fill>
        <patternFill patternType="none"/>
      </fill>
      <border/>
    </dxf>
    <dxf>
      <font>
        <b/>
        <color rgb="FFE36C09"/>
      </font>
      <fill>
        <patternFill patternType="none"/>
      </fill>
      <border/>
    </dxf>
  </dxfs>
  <tableStyles count="49"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4-style">
      <tableStyleElement dxfId="2" type="firstRowStripe"/>
      <tableStyleElement dxfId="1" type="secondRowStripe"/>
    </tableStyle>
    <tableStyle count="2" pivot="0" name="2024-style 2">
      <tableStyleElement dxfId="2" type="firstRowStripe"/>
      <tableStyleElement dxfId="1" type="secondRowStripe"/>
    </tableStyle>
    <tableStyle count="2" pivot="0" name="2024-style 3">
      <tableStyleElement dxfId="2" type="firstRowStripe"/>
      <tableStyleElement dxfId="1" type="secondRowStripe"/>
    </tableStyle>
    <tableStyle count="2" pivot="0" name="2024-style 4">
      <tableStyleElement dxfId="2" type="firstRowStripe"/>
      <tableStyleElement dxfId="1" type="secondRowStripe"/>
    </tableStyle>
    <tableStyle count="2" pivot="0" name="2023-style">
      <tableStyleElement dxfId="1" type="firstRowStripe"/>
      <tableStyleElement dxfId="2" type="secondRowStripe"/>
    </tableStyle>
    <tableStyle count="2" pivot="0" name="2023-style 2">
      <tableStyleElement dxfId="1" type="firstRowStripe"/>
      <tableStyleElement dxfId="2" type="secondRowStripe"/>
    </tableStyle>
    <tableStyle count="2" pivot="0" name="2023-style 3">
      <tableStyleElement dxfId="1" type="firstRowStripe"/>
      <tableStyleElement dxfId="2" type="secondRowStripe"/>
    </tableStyle>
    <tableStyle count="2" pivot="0" name="2023-style 4">
      <tableStyleElement dxfId="1" type="firstRowStripe"/>
      <tableStyleElement dxfId="2" type="secondRowStripe"/>
    </tableStyle>
    <tableStyle count="2" pivot="0" name="2022-style">
      <tableStyleElement dxfId="2" type="firstRowStripe"/>
      <tableStyleElement dxfId="1" type="secondRowStripe"/>
    </tableStyle>
    <tableStyle count="2" pivot="0" name="2022-style 2">
      <tableStyleElement dxfId="2" type="firstRowStripe"/>
      <tableStyleElement dxfId="1" type="secondRowStripe"/>
    </tableStyle>
    <tableStyle count="2" pivot="0" name="2022-style 3">
      <tableStyleElement dxfId="2" type="firstRowStripe"/>
      <tableStyleElement dxfId="1" type="secondRowStripe"/>
    </tableStyle>
    <tableStyle count="2" pivot="0" name="2021-style">
      <tableStyleElement dxfId="2" type="firstRowStripe"/>
      <tableStyleElement dxfId="1" type="secondRowStripe"/>
    </tableStyle>
    <tableStyle count="2" pivot="0" name="2021-style 2">
      <tableStyleElement dxfId="2" type="firstRowStripe"/>
      <tableStyleElement dxfId="1" type="secondRowStripe"/>
    </tableStyle>
    <tableStyle count="2" pivot="0" name="2020-style">
      <tableStyleElement dxfId="1" type="firstRowStripe"/>
      <tableStyleElement dxfId="2" type="secondRowStripe"/>
    </tableStyle>
    <tableStyle count="2" pivot="0" name="2020-style 2">
      <tableStyleElement dxfId="2" type="firstRowStripe"/>
      <tableStyleElement dxfId="1" type="secondRowStripe"/>
    </tableStyle>
    <tableStyle count="2" pivot="0" name="2019-style">
      <tableStyleElement dxfId="2" type="firstRowStripe"/>
      <tableStyleElement dxfId="1" type="secondRowStripe"/>
    </tableStyle>
    <tableStyle count="2" pivot="0" name="2019-style 2">
      <tableStyleElement dxfId="2" type="firstRowStripe"/>
      <tableStyleElement dxfId="1" type="secondRowStripe"/>
    </tableStyle>
    <tableStyle count="2" pivot="0" name="2019-style 3">
      <tableStyleElement dxfId="2" type="firstRowStripe"/>
      <tableStyleElement dxfId="1" type="secondRowStripe"/>
    </tableStyle>
    <tableStyle count="2" pivot="0" name="2019-style 4">
      <tableStyleElement dxfId="2" type="firstRowStripe"/>
      <tableStyleElement dxfId="1" type="secondRowStripe"/>
    </tableStyle>
    <tableStyle count="2" pivot="0" name="2019-style 5">
      <tableStyleElement dxfId="2" type="firstRowStripe"/>
      <tableStyleElement dxfId="1" type="secondRowStripe"/>
    </tableStyle>
    <tableStyle count="2" pivot="0" name="2019-style 6">
      <tableStyleElement dxfId="2" type="firstRowStripe"/>
      <tableStyleElement dxfId="1" type="secondRowStripe"/>
    </tableStyle>
    <tableStyle count="2" pivot="0" name="2019-style 7">
      <tableStyleElement dxfId="2" type="firstRowStripe"/>
      <tableStyleElement dxfId="1" type="secondRowStripe"/>
    </tableStyle>
    <tableStyle count="2" pivot="0" name="2019-style 8">
      <tableStyleElement dxfId="2" type="firstRowStripe"/>
      <tableStyleElement dxfId="1" type="secondRowStripe"/>
    </tableStyle>
    <tableStyle count="2" pivot="0" name="2018-style">
      <tableStyleElement dxfId="2" type="firstRowStripe"/>
      <tableStyleElement dxfId="1" type="secondRowStripe"/>
    </tableStyle>
    <tableStyle count="2" pivot="0" name="2018-style 2">
      <tableStyleElement dxfId="2" type="firstRowStripe"/>
      <tableStyleElement dxfId="1" type="secondRowStripe"/>
    </tableStyle>
    <tableStyle count="2" pivot="0" name="2018-style 3">
      <tableStyleElement dxfId="2" type="firstRowStripe"/>
      <tableStyleElement dxfId="1" type="secondRowStripe"/>
    </tableStyle>
    <tableStyle count="2" pivot="0" name="2018-style 4">
      <tableStyleElement dxfId="2" type="firstRowStripe"/>
      <tableStyleElement dxfId="1" type="secondRowStripe"/>
    </tableStyle>
    <tableStyle count="2" pivot="0" name="2018-style 5">
      <tableStyleElement dxfId="2" type="firstRowStripe"/>
      <tableStyleElement dxfId="1" type="secondRowStripe"/>
    </tableStyle>
    <tableStyle count="2" pivot="0" name="2018-style 6">
      <tableStyleElement dxfId="2" type="firstRowStripe"/>
      <tableStyleElement dxfId="1" type="secondRowStripe"/>
    </tableStyle>
    <tableStyle count="2" pivot="0" name="2017-style">
      <tableStyleElement dxfId="2" type="firstRowStripe"/>
      <tableStyleElement dxfId="1" type="secondRowStripe"/>
    </tableStyle>
    <tableStyle count="2" pivot="0" name="2017-style 2">
      <tableStyleElement dxfId="2" type="firstRowStripe"/>
      <tableStyleElement dxfId="1" type="secondRowStripe"/>
    </tableStyle>
    <tableStyle count="2" pivot="0" name="2017-style 3">
      <tableStyleElement dxfId="2" type="firstRowStripe"/>
      <tableStyleElement dxfId="1" type="secondRowStripe"/>
    </tableStyle>
    <tableStyle count="2" pivot="0" name="2017-style 4">
      <tableStyleElement dxfId="2" type="firstRowStripe"/>
      <tableStyleElement dxfId="1" type="secondRowStripe"/>
    </tableStyle>
    <tableStyle count="2" pivot="0" name="2017-style 5">
      <tableStyleElement dxfId="2" type="firstRowStripe"/>
      <tableStyleElement dxfId="1" type="secondRowStripe"/>
    </tableStyle>
    <tableStyle count="2" pivot="0" name="2017-style 6">
      <tableStyleElement dxfId="2" type="firstRowStripe"/>
      <tableStyleElement dxfId="1" type="secondRowStripe"/>
    </tableStyle>
    <tableStyle count="2" pivot="0" name="2016-style">
      <tableStyleElement dxfId="2" type="firstRowStripe"/>
      <tableStyleElement dxfId="1" type="secondRowStripe"/>
    </tableStyle>
    <tableStyle count="2" pivot="0" name="2016-style 2">
      <tableStyleElement dxfId="2" type="firstRowStripe"/>
      <tableStyleElement dxfId="1" type="secondRowStripe"/>
    </tableStyle>
    <tableStyle count="2" pivot="0" name="2016-style 3">
      <tableStyleElement dxfId="2" type="firstRowStripe"/>
      <tableStyleElement dxfId="1" type="secondRowStripe"/>
    </tableStyle>
    <tableStyle count="2" pivot="0" name="2016-style 4">
      <tableStyleElement dxfId="2" type="firstRowStripe"/>
      <tableStyleElement dxfId="1" type="secondRowStripe"/>
    </tableStyle>
    <tableStyle count="2" pivot="0" name="2016-style 5">
      <tableStyleElement dxfId="2" type="firstRowStripe"/>
      <tableStyleElement dxfId="1" type="secondRowStripe"/>
    </tableStyle>
    <tableStyle count="2" pivot="0" name="2016-style 6">
      <tableStyleElement dxfId="2" type="firstRowStripe"/>
      <tableStyleElement dxfId="1" type="secondRowStripe"/>
    </tableStyle>
    <tableStyle count="2" pivot="0" name="2015-style">
      <tableStyleElement dxfId="2" type="firstRowStripe"/>
      <tableStyleElement dxfId="1" type="secondRowStripe"/>
    </tableStyle>
    <tableStyle count="2" pivot="0" name="2015-style 2">
      <tableStyleElement dxfId="2" type="firstRowStripe"/>
      <tableStyleElement dxfId="1" type="secondRowStripe"/>
    </tableStyle>
    <tableStyle count="2" pivot="0" name="2015-style 3">
      <tableStyleElement dxfId="2" type="firstRowStripe"/>
      <tableStyleElement dxfId="1" type="secondRowStripe"/>
    </tableStyle>
    <tableStyle count="2" pivot="0" name="2015-style 4">
      <tableStyleElement dxfId="2" type="firstRowStripe"/>
      <tableStyleElement dxfId="1" type="secondRowStripe"/>
    </tableStyle>
    <tableStyle count="2" pivot="0" name="2015-style 5">
      <tableStyleElement dxfId="2" type="firstRowStripe"/>
      <tableStyleElement dxfId="1" type="secondRowStripe"/>
    </tableStyle>
    <tableStyle count="2" pivot="0" name="2015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PI - Depositadas e concedidas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Sheet10!$B$2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Sheet10!$A$3:$A$8</c:f>
            </c:strRef>
          </c:cat>
          <c:val>
            <c:numRef>
              <c:f>Sheet10!$B$3:$B$8</c:f>
              <c:numCache/>
            </c:numRef>
          </c:val>
        </c:ser>
        <c:ser>
          <c:idx val="1"/>
          <c:order val="1"/>
          <c:tx>
            <c:strRef>
              <c:f>Sheet10!$C$2</c:f>
            </c:strRef>
          </c:tx>
          <c:spPr>
            <a:solidFill>
              <a:srgbClr val="DB443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Sheet10!$A$3:$A$8</c:f>
            </c:strRef>
          </c:cat>
          <c:val>
            <c:numRef>
              <c:f>Sheet10!$C$3:$C$8</c:f>
              <c:numCache/>
            </c:numRef>
          </c:val>
        </c:ser>
        <c:axId val="1724308856"/>
        <c:axId val="789651591"/>
      </c:barChart>
      <c:catAx>
        <c:axId val="172430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9651591"/>
      </c:catAx>
      <c:valAx>
        <c:axId val="789651591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43088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Total de PIs depositadas e concedidas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Sheet10!$M$21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Sheet10!$L$22:$L$24</c:f>
            </c:strRef>
          </c:cat>
          <c:val>
            <c:numRef>
              <c:f>Sheet10!$M$22:$M$24</c:f>
              <c:numCache/>
            </c:numRef>
          </c:val>
        </c:ser>
        <c:ser>
          <c:idx val="1"/>
          <c:order val="1"/>
          <c:tx>
            <c:strRef>
              <c:f>Sheet10!$N$21</c:f>
            </c:strRef>
          </c:tx>
          <c:spPr>
            <a:solidFill>
              <a:srgbClr val="DB443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Sheet10!$L$22:$L$24</c:f>
            </c:strRef>
          </c:cat>
          <c:val>
            <c:numRef>
              <c:f>Sheet10!$N$22:$N$24</c:f>
              <c:numCache/>
            </c:numRef>
          </c:val>
        </c:ser>
        <c:axId val="1825476679"/>
        <c:axId val="1456841563"/>
      </c:barChart>
      <c:catAx>
        <c:axId val="1825476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6841563"/>
      </c:catAx>
      <c:valAx>
        <c:axId val="1456841563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B7B7B7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54766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Tipos de PI concedidas por 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Sheet10!$F$29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Sheet10!$G$28:$K$28</c:f>
            </c:strRef>
          </c:cat>
          <c:val>
            <c:numRef>
              <c:f>Sheet10!$G$29:$K$29</c:f>
              <c:numCache/>
            </c:numRef>
          </c:val>
        </c:ser>
        <c:ser>
          <c:idx val="1"/>
          <c:order val="1"/>
          <c:tx>
            <c:strRef>
              <c:f>Sheet10!$F$30</c:f>
            </c:strRef>
          </c:tx>
          <c:spPr>
            <a:solidFill>
              <a:srgbClr val="DB443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Sheet10!$G$28:$K$28</c:f>
            </c:strRef>
          </c:cat>
          <c:val>
            <c:numRef>
              <c:f>Sheet10!$G$30:$K$30</c:f>
              <c:numCache/>
            </c:numRef>
          </c:val>
        </c:ser>
        <c:ser>
          <c:idx val="2"/>
          <c:order val="2"/>
          <c:tx>
            <c:strRef>
              <c:f>Sheet10!$F$31</c:f>
            </c:strRef>
          </c:tx>
          <c:cat>
            <c:strRef>
              <c:f>Sheet10!$G$28:$K$28</c:f>
            </c:strRef>
          </c:cat>
          <c:val>
            <c:numRef>
              <c:f>Sheet10!$G$31:$K$31</c:f>
              <c:numCache/>
            </c:numRef>
          </c:val>
        </c:ser>
        <c:axId val="1251371077"/>
        <c:axId val="1333848762"/>
      </c:barChart>
      <c:catAx>
        <c:axId val="1251371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CONCEDIDOS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3848762"/>
      </c:catAx>
      <c:valAx>
        <c:axId val="1333848762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137107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152400</xdr:rowOff>
    </xdr:from>
    <xdr:ext cx="11144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0</xdr:row>
      <xdr:rowOff>180975</xdr:rowOff>
    </xdr:from>
    <xdr:ext cx="923925" cy="9334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1962150</xdr:colOff>
      <xdr:row>0</xdr:row>
      <xdr:rowOff>76200</xdr:rowOff>
    </xdr:from>
    <xdr:ext cx="11144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0</xdr:row>
      <xdr:rowOff>76200</xdr:rowOff>
    </xdr:from>
    <xdr:ext cx="981075" cy="9906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0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666750</xdr:colOff>
      <xdr:row>31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9:E2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H19:I24" displayName="Table_3" name="Table_3" id="3">
  <tableColumns count="2">
    <tableColumn name="Column1" id="1"/>
    <tableColumn name="Column2" id="2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9:B26" displayName="Table_2" name="Table_2" id="2">
  <tableColumns count="1">
    <tableColumn name="Column1" id="1"/>
  </tableColumns>
  <tableStyleInfo name="2024-style" showColumnStripes="0" showFirstColumn="1" showLastColumn="1" showRowStripes="1"/>
</table>
</file>

<file path=xl/tables/table4.xml><?xml version="1.0" encoding="utf-8"?>
<table xmlns="http://schemas.openxmlformats.org/spreadsheetml/2006/main" headerRowCount="0" ref="C19:C26" displayName="Table_4" name="Table_4" id="4">
  <tableColumns count="1">
    <tableColumn name="Column1" id="1"/>
  </tableColumns>
  <tableStyleInfo name="2024-style 2" showColumnStripes="0" showFirstColumn="1" showLastColumn="1" showRowStripes="1"/>
</table>
</file>

<file path=xl/tables/table5.xml><?xml version="1.0" encoding="utf-8"?>
<table xmlns="http://schemas.openxmlformats.org/spreadsheetml/2006/main" headerRowCount="0" ref="H19:H27" displayName="Table_5" name="Table_5" id="5">
  <tableColumns count="1">
    <tableColumn name="Column1" id="1"/>
  </tableColumns>
  <tableStyleInfo name="2024-style 3" showColumnStripes="0" showFirstColumn="1" showLastColumn="1" showRowStripes="1"/>
</table>
</file>

<file path=xl/tables/table6.xml><?xml version="1.0" encoding="utf-8"?>
<table xmlns="http://schemas.openxmlformats.org/spreadsheetml/2006/main" headerRowCount="0" ref="I19:I26" displayName="Table_6" name="Table_6" id="6">
  <tableColumns count="1">
    <tableColumn name="Column1" id="1"/>
  </tableColumns>
  <tableStyleInfo name="2024-style 4" showColumnStripes="0" showFirstColumn="1" showLastColumn="1" showRowStripes="1"/>
</table>
</file>

<file path=xl/tables/table7.xml><?xml version="1.0" encoding="utf-8"?>
<table xmlns="http://schemas.openxmlformats.org/spreadsheetml/2006/main" headerRowCount="0" ref="H6:I11" displayName="Table_7" name="Table_7" id="7">
  <tableColumns count="2">
    <tableColumn name="Column1" id="1"/>
    <tableColumn name="Column2" id="2"/>
  </tableColumns>
  <tableStyleInfo name="2023-style" showColumnStripes="0" showFirstColumn="1" showLastColumn="1" showRowStripes="1"/>
</table>
</file>

<file path=xl/tables/table8.xml><?xml version="1.0" encoding="utf-8"?>
<table xmlns="http://schemas.openxmlformats.org/spreadsheetml/2006/main" headerRowCount="0" ref="B20:B31" displayName="Table_8" name="Table_8" id="8">
  <tableColumns count="1">
    <tableColumn name="Column1" id="1"/>
  </tableColumns>
  <tableStyleInfo name="2023-style 2" showColumnStripes="0" showFirstColumn="1" showLastColumn="1" showRowStripes="1"/>
</table>
</file>

<file path=xl/tables/table9.xml><?xml version="1.0" encoding="utf-8"?>
<table xmlns="http://schemas.openxmlformats.org/spreadsheetml/2006/main" headerRowCount="0" ref="C20:C31" displayName="Table_9" name="Table_9" id="9">
  <tableColumns count="1">
    <tableColumn name="Column1" id="1"/>
  </tableColumns>
  <tableStyleInfo name="2023-style 3" showColumnStripes="0" showFirstColumn="1" showLastColumn="1" showRowStripes="1"/>
</table>
</file>

<file path=xl/tables/table10.xml><?xml version="1.0" encoding="utf-8"?>
<table xmlns="http://schemas.openxmlformats.org/spreadsheetml/2006/main" headerRowCount="0" ref="H20:I31" displayName="Table_10" name="Table_10" id="10">
  <tableColumns count="2">
    <tableColumn name="Column1" id="1"/>
    <tableColumn name="Column2" id="2"/>
  </tableColumns>
  <tableStyleInfo name="2023-style 4" showColumnStripes="0" showFirstColumn="1" showLastColumn="1" showRowStripes="1"/>
</table>
</file>

<file path=xl/tables/table11.xml><?xml version="1.0" encoding="utf-8"?>
<table xmlns="http://schemas.openxmlformats.org/spreadsheetml/2006/main" headerRowCount="0" ref="B24:C35" displayName="Table_11" name="Table_11" id="11">
  <tableColumns count="2">
    <tableColumn name="Column1" id="1"/>
    <tableColumn name="Column2" id="2"/>
  </tableColumns>
  <tableStyleInfo name="2022-style" showColumnStripes="0" showFirstColumn="1" showLastColumn="1" showRowStripes="1"/>
</table>
</file>

<file path=xl/tables/table12.xml><?xml version="1.0" encoding="utf-8"?>
<table xmlns="http://schemas.openxmlformats.org/spreadsheetml/2006/main" headerRowCount="0" ref="H24:H35" displayName="Table_12" name="Table_12" id="12">
  <tableColumns count="1">
    <tableColumn name="Column1" id="1"/>
  </tableColumns>
  <tableStyleInfo name="2022-style 2" showColumnStripes="0" showFirstColumn="1" showLastColumn="1" showRowStripes="1"/>
</table>
</file>

<file path=xl/tables/table13.xml><?xml version="1.0" encoding="utf-8"?>
<table xmlns="http://schemas.openxmlformats.org/spreadsheetml/2006/main" headerRowCount="0" ref="I32:I35" displayName="Table_13" name="Table_13" id="13">
  <tableColumns count="1">
    <tableColumn name="Column1" id="1"/>
  </tableColumns>
  <tableStyleInfo name="2022-style 3" showColumnStripes="0" showFirstColumn="1" showLastColumn="1" showRowStripes="1"/>
</table>
</file>

<file path=xl/tables/table14.xml><?xml version="1.0" encoding="utf-8"?>
<table xmlns="http://schemas.openxmlformats.org/spreadsheetml/2006/main" headerRowCount="0" ref="B19:C27" displayName="Table_14" name="Table_14" id="14">
  <tableColumns count="2">
    <tableColumn name="Column1" id="1"/>
    <tableColumn name="Column2" id="2"/>
  </tableColumns>
  <tableStyleInfo name="2021-style" showColumnStripes="0" showFirstColumn="1" showLastColumn="1" showRowStripes="1"/>
</table>
</file>

<file path=xl/tables/table15.xml><?xml version="1.0" encoding="utf-8"?>
<table xmlns="http://schemas.openxmlformats.org/spreadsheetml/2006/main" headerRowCount="0" ref="H19:I27" displayName="Table_15" name="Table_15" id="15">
  <tableColumns count="2">
    <tableColumn name="Column1" id="1"/>
    <tableColumn name="Column2" id="2"/>
  </tableColumns>
  <tableStyleInfo name="2021-style 2" showColumnStripes="0" showFirstColumn="1" showLastColumn="1" showRowStripes="1"/>
</table>
</file>

<file path=xl/tables/table16.xml><?xml version="1.0" encoding="utf-8"?>
<table xmlns="http://schemas.openxmlformats.org/spreadsheetml/2006/main" headerRowCount="0" ref="B20:D26" displayName="Table_16" name="Table_16" id="16">
  <tableColumns count="3">
    <tableColumn name="Column1" id="1"/>
    <tableColumn name="Column2" id="2"/>
    <tableColumn name="Column3" id="3"/>
  </tableColumns>
  <tableStyleInfo name="2020-style" showColumnStripes="0" showFirstColumn="1" showLastColumn="1" showRowStripes="1"/>
</table>
</file>

<file path=xl/tables/table17.xml><?xml version="1.0" encoding="utf-8"?>
<table xmlns="http://schemas.openxmlformats.org/spreadsheetml/2006/main" headerRowCount="0" ref="H20:I26" displayName="Table_17" name="Table_17" id="17">
  <tableColumns count="2">
    <tableColumn name="Column1" id="1"/>
    <tableColumn name="Column2" id="2"/>
  </tableColumns>
  <tableStyleInfo name="2020-style 2" showColumnStripes="0" showFirstColumn="1" showLastColumn="1" showRowStripes="1"/>
</table>
</file>

<file path=xl/tables/table18.xml><?xml version="1.0" encoding="utf-8"?>
<table xmlns="http://schemas.openxmlformats.org/spreadsheetml/2006/main" headerRowCount="0" ref="B5:E11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2019-style" showColumnStripes="0" showFirstColumn="1" showLastColumn="1" showRowStripes="1"/>
</table>
</file>

<file path=xl/tables/table19.xml><?xml version="1.0" encoding="utf-8"?>
<table xmlns="http://schemas.openxmlformats.org/spreadsheetml/2006/main" headerRowCount="0" ref="H5:H8" displayName="Table_19" name="Table_19" id="19">
  <tableColumns count="1">
    <tableColumn name="Column1" id="1"/>
  </tableColumns>
  <tableStyleInfo name="2019-style 2" showColumnStripes="0" showFirstColumn="1" showLastColumn="1" showRowStripes="1"/>
</table>
</file>

<file path=xl/tables/table20.xml><?xml version="1.0" encoding="utf-8"?>
<table xmlns="http://schemas.openxmlformats.org/spreadsheetml/2006/main" headerRowCount="0" ref="I5:I8" displayName="Table_20" name="Table_20" id="20">
  <tableColumns count="1">
    <tableColumn name="Column1" id="1"/>
  </tableColumns>
  <tableStyleInfo name="2019-style 3" showColumnStripes="0" showFirstColumn="1" showLastColumn="1" showRowStripes="1"/>
</table>
</file>

<file path=xl/tables/table21.xml><?xml version="1.0" encoding="utf-8"?>
<table xmlns="http://schemas.openxmlformats.org/spreadsheetml/2006/main" headerRowCount="0" ref="B19:D35" displayName="Table_21" name="Table_21" id="21">
  <tableColumns count="3">
    <tableColumn name="Column1" id="1"/>
    <tableColumn name="Column2" id="2"/>
    <tableColumn name="Column3" id="3"/>
  </tableColumns>
  <tableStyleInfo name="2019-style 4" showColumnStripes="0" showFirstColumn="1" showLastColumn="1" showRowStripes="1"/>
</table>
</file>

<file path=xl/tables/table22.xml><?xml version="1.0" encoding="utf-8"?>
<table xmlns="http://schemas.openxmlformats.org/spreadsheetml/2006/main" headerRowCount="0" ref="H19:H35" displayName="Table_22" name="Table_22" id="22">
  <tableColumns count="1">
    <tableColumn name="Column1" id="1"/>
  </tableColumns>
  <tableStyleInfo name="2019-style 5" showColumnStripes="0" showFirstColumn="1" showLastColumn="1" showRowStripes="1"/>
</table>
</file>

<file path=xl/tables/table23.xml><?xml version="1.0" encoding="utf-8"?>
<table xmlns="http://schemas.openxmlformats.org/spreadsheetml/2006/main" headerRowCount="0" ref="B38:F48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2019-style 6" showColumnStripes="0" showFirstColumn="1" showLastColumn="1" showRowStripes="1"/>
</table>
</file>

<file path=xl/tables/table24.xml><?xml version="1.0" encoding="utf-8"?>
<table xmlns="http://schemas.openxmlformats.org/spreadsheetml/2006/main" headerRowCount="0" ref="H38:H48" displayName="Table_24" name="Table_24" id="24">
  <tableColumns count="1">
    <tableColumn name="Column1" id="1"/>
  </tableColumns>
  <tableStyleInfo name="2019-style 7" showColumnStripes="0" showFirstColumn="1" showLastColumn="1" showRowStripes="1"/>
</table>
</file>

<file path=xl/tables/table25.xml><?xml version="1.0" encoding="utf-8"?>
<table xmlns="http://schemas.openxmlformats.org/spreadsheetml/2006/main" headerRowCount="0" ref="I38:I48" displayName="Table_25" name="Table_25" id="25">
  <tableColumns count="1">
    <tableColumn name="Column1" id="1"/>
  </tableColumns>
  <tableStyleInfo name="2019-style 8" showColumnStripes="0" showFirstColumn="1" showLastColumn="1" showRowStripes="1"/>
</table>
</file>

<file path=xl/tables/table26.xml><?xml version="1.0" encoding="utf-8"?>
<table xmlns="http://schemas.openxmlformats.org/spreadsheetml/2006/main" headerRowCount="0" ref="B5:F9" displayName="Table_26" name="Table_26" id="26">
  <tableColumns count="5">
    <tableColumn name="Column1" id="1"/>
    <tableColumn name="Column2" id="2"/>
    <tableColumn name="Column3" id="3"/>
    <tableColumn name="Column4" id="4"/>
    <tableColumn name="Column5" id="5"/>
  </tableColumns>
  <tableStyleInfo name="2018-style" showColumnStripes="0" showFirstColumn="1" showLastColumn="1" showRowStripes="1"/>
</table>
</file>

<file path=xl/tables/table27.xml><?xml version="1.0" encoding="utf-8"?>
<table xmlns="http://schemas.openxmlformats.org/spreadsheetml/2006/main" headerRowCount="0" ref="H5:H8" displayName="Table_27" name="Table_27" id="27">
  <tableColumns count="1">
    <tableColumn name="Column1" id="1"/>
  </tableColumns>
  <tableStyleInfo name="2018-style 2" showColumnStripes="0" showFirstColumn="1" showLastColumn="1" showRowStripes="1"/>
</table>
</file>

<file path=xl/tables/table28.xml><?xml version="1.0" encoding="utf-8"?>
<table xmlns="http://schemas.openxmlformats.org/spreadsheetml/2006/main" headerRowCount="0" ref="I5:I8" displayName="Table_28" name="Table_28" id="28">
  <tableColumns count="1">
    <tableColumn name="Column1" id="1"/>
  </tableColumns>
  <tableStyleInfo name="2018-style 3" showColumnStripes="0" showFirstColumn="1" showLastColumn="1" showRowStripes="1"/>
</table>
</file>

<file path=xl/tables/table29.xml><?xml version="1.0" encoding="utf-8"?>
<table xmlns="http://schemas.openxmlformats.org/spreadsheetml/2006/main" headerRowCount="0" ref="B34:F44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2018-style 4" showColumnStripes="0" showFirstColumn="1" showLastColumn="1" showRowStripes="1"/>
</table>
</file>

<file path=xl/tables/table30.xml><?xml version="1.0" encoding="utf-8"?>
<table xmlns="http://schemas.openxmlformats.org/spreadsheetml/2006/main" headerRowCount="0" ref="H34:H44" displayName="Table_30" name="Table_30" id="30">
  <tableColumns count="1">
    <tableColumn name="Column1" id="1"/>
  </tableColumns>
  <tableStyleInfo name="2018-style 5" showColumnStripes="0" showFirstColumn="1" showLastColumn="1" showRowStripes="1"/>
</table>
</file>

<file path=xl/tables/table31.xml><?xml version="1.0" encoding="utf-8"?>
<table xmlns="http://schemas.openxmlformats.org/spreadsheetml/2006/main" headerRowCount="0" ref="I34:I44" displayName="Table_31" name="Table_31" id="31">
  <tableColumns count="1">
    <tableColumn name="Column1" id="1"/>
  </tableColumns>
  <tableStyleInfo name="2018-style 6" showColumnStripes="0" showFirstColumn="1" showLastColumn="1" showRowStripes="1"/>
</table>
</file>

<file path=xl/tables/table32.xml><?xml version="1.0" encoding="utf-8"?>
<table xmlns="http://schemas.openxmlformats.org/spreadsheetml/2006/main" headerRowCount="0" ref="B5:E9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2017-style" showColumnStripes="0" showFirstColumn="1" showLastColumn="1" showRowStripes="1"/>
</table>
</file>

<file path=xl/tables/table33.xml><?xml version="1.0" encoding="utf-8"?>
<table xmlns="http://schemas.openxmlformats.org/spreadsheetml/2006/main" headerRowCount="0" ref="H5:H8" displayName="Table_33" name="Table_33" id="33">
  <tableColumns count="1">
    <tableColumn name="Column1" id="1"/>
  </tableColumns>
  <tableStyleInfo name="2017-style 2" showColumnStripes="0" showFirstColumn="1" showLastColumn="1" showRowStripes="1"/>
</table>
</file>

<file path=xl/tables/table34.xml><?xml version="1.0" encoding="utf-8"?>
<table xmlns="http://schemas.openxmlformats.org/spreadsheetml/2006/main" headerRowCount="0" ref="I5:I8" displayName="Table_34" name="Table_34" id="34">
  <tableColumns count="1">
    <tableColumn name="Column1" id="1"/>
  </tableColumns>
  <tableStyleInfo name="2017-style 3" showColumnStripes="0" showFirstColumn="1" showLastColumn="1" showRowStripes="1"/>
</table>
</file>

<file path=xl/tables/table35.xml><?xml version="1.0" encoding="utf-8"?>
<table xmlns="http://schemas.openxmlformats.org/spreadsheetml/2006/main" headerRowCount="0" ref="B34:F44" displayName="Table_35" name="Table_35" id="35">
  <tableColumns count="5">
    <tableColumn name="Column1" id="1"/>
    <tableColumn name="Column2" id="2"/>
    <tableColumn name="Column3" id="3"/>
    <tableColumn name="Column4" id="4"/>
    <tableColumn name="Column5" id="5"/>
  </tableColumns>
  <tableStyleInfo name="2017-style 4" showColumnStripes="0" showFirstColumn="1" showLastColumn="1" showRowStripes="1"/>
</table>
</file>

<file path=xl/tables/table36.xml><?xml version="1.0" encoding="utf-8"?>
<table xmlns="http://schemas.openxmlformats.org/spreadsheetml/2006/main" headerRowCount="0" ref="H34:H44" displayName="Table_36" name="Table_36" id="36">
  <tableColumns count="1">
    <tableColumn name="Column1" id="1"/>
  </tableColumns>
  <tableStyleInfo name="2017-style 5" showColumnStripes="0" showFirstColumn="1" showLastColumn="1" showRowStripes="1"/>
</table>
</file>

<file path=xl/tables/table37.xml><?xml version="1.0" encoding="utf-8"?>
<table xmlns="http://schemas.openxmlformats.org/spreadsheetml/2006/main" headerRowCount="0" ref="I34:I44" displayName="Table_37" name="Table_37" id="37">
  <tableColumns count="1">
    <tableColumn name="Column1" id="1"/>
  </tableColumns>
  <tableStyleInfo name="2017-style 6" showColumnStripes="0" showFirstColumn="1" showLastColumn="1" showRowStripes="1"/>
</table>
</file>

<file path=xl/tables/table38.xml><?xml version="1.0" encoding="utf-8"?>
<table xmlns="http://schemas.openxmlformats.org/spreadsheetml/2006/main" headerRowCount="0" ref="B7:E9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2016-style" showColumnStripes="0" showFirstColumn="1" showLastColumn="1" showRowStripes="1"/>
</table>
</file>

<file path=xl/tables/table39.xml><?xml version="1.0" encoding="utf-8"?>
<table xmlns="http://schemas.openxmlformats.org/spreadsheetml/2006/main" headerRowCount="0" ref="H7:H8" displayName="Table_39" name="Table_39" id="39">
  <tableColumns count="1">
    <tableColumn name="Column1" id="1"/>
  </tableColumns>
  <tableStyleInfo name="2016-style 2" showColumnStripes="0" showFirstColumn="1" showLastColumn="1" showRowStripes="1"/>
</table>
</file>

<file path=xl/tables/table40.xml><?xml version="1.0" encoding="utf-8"?>
<table xmlns="http://schemas.openxmlformats.org/spreadsheetml/2006/main" headerRowCount="0" ref="I7:I8" displayName="Table_40" name="Table_40" id="40">
  <tableColumns count="1">
    <tableColumn name="Column1" id="1"/>
  </tableColumns>
  <tableStyleInfo name="2016-style 3" showColumnStripes="0" showFirstColumn="1" showLastColumn="1" showRowStripes="1"/>
</table>
</file>

<file path=xl/tables/table41.xml><?xml version="1.0" encoding="utf-8"?>
<table xmlns="http://schemas.openxmlformats.org/spreadsheetml/2006/main" headerRowCount="0" ref="B34:E44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2016-style 4" showColumnStripes="0" showFirstColumn="1" showLastColumn="1" showRowStripes="1"/>
</table>
</file>

<file path=xl/tables/table42.xml><?xml version="1.0" encoding="utf-8"?>
<table xmlns="http://schemas.openxmlformats.org/spreadsheetml/2006/main" headerRowCount="0" ref="H34:H44" displayName="Table_42" name="Table_42" id="42">
  <tableColumns count="1">
    <tableColumn name="Column1" id="1"/>
  </tableColumns>
  <tableStyleInfo name="2016-style 5" showColumnStripes="0" showFirstColumn="1" showLastColumn="1" showRowStripes="1"/>
</table>
</file>

<file path=xl/tables/table43.xml><?xml version="1.0" encoding="utf-8"?>
<table xmlns="http://schemas.openxmlformats.org/spreadsheetml/2006/main" headerRowCount="0" ref="I34:I44" displayName="Table_43" name="Table_43" id="43">
  <tableColumns count="1">
    <tableColumn name="Column1" id="1"/>
  </tableColumns>
  <tableStyleInfo name="2016-style 6" showColumnStripes="0" showFirstColumn="1" showLastColumn="1" showRowStripes="1"/>
</table>
</file>

<file path=xl/tables/table44.xml><?xml version="1.0" encoding="utf-8"?>
<table xmlns="http://schemas.openxmlformats.org/spreadsheetml/2006/main" headerRowCount="0" ref="B7:F9" displayName="Table_44" name="Table_44" id="44">
  <tableColumns count="5">
    <tableColumn name="Column1" id="1"/>
    <tableColumn name="Column2" id="2"/>
    <tableColumn name="Column3" id="3"/>
    <tableColumn name="Column4" id="4"/>
    <tableColumn name="Column5" id="5"/>
  </tableColumns>
  <tableStyleInfo name="2015-style" showColumnStripes="0" showFirstColumn="1" showLastColumn="1" showRowStripes="1"/>
</table>
</file>

<file path=xl/tables/table45.xml><?xml version="1.0" encoding="utf-8"?>
<table xmlns="http://schemas.openxmlformats.org/spreadsheetml/2006/main" headerRowCount="0" ref="H7:H8" displayName="Table_45" name="Table_45" id="45">
  <tableColumns count="1">
    <tableColumn name="Column1" id="1"/>
  </tableColumns>
  <tableStyleInfo name="2015-style 2" showColumnStripes="0" showFirstColumn="1" showLastColumn="1" showRowStripes="1"/>
</table>
</file>

<file path=xl/tables/table46.xml><?xml version="1.0" encoding="utf-8"?>
<table xmlns="http://schemas.openxmlformats.org/spreadsheetml/2006/main" headerRowCount="0" ref="I7:I8" displayName="Table_46" name="Table_46" id="46">
  <tableColumns count="1">
    <tableColumn name="Column1" id="1"/>
  </tableColumns>
  <tableStyleInfo name="2015-style 3" showColumnStripes="0" showFirstColumn="1" showLastColumn="1" showRowStripes="1"/>
</table>
</file>

<file path=xl/tables/table47.xml><?xml version="1.0" encoding="utf-8"?>
<table xmlns="http://schemas.openxmlformats.org/spreadsheetml/2006/main" headerRowCount="0" ref="B34:E44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2015-style 4" showColumnStripes="0" showFirstColumn="1" showLastColumn="1" showRowStripes="1"/>
</table>
</file>

<file path=xl/tables/table48.xml><?xml version="1.0" encoding="utf-8"?>
<table xmlns="http://schemas.openxmlformats.org/spreadsheetml/2006/main" headerRowCount="0" ref="H34:H44" displayName="Table_48" name="Table_48" id="48">
  <tableColumns count="1">
    <tableColumn name="Column1" id="1"/>
  </tableColumns>
  <tableStyleInfo name="2015-style 5" showColumnStripes="0" showFirstColumn="1" showLastColumn="1" showRowStripes="1"/>
</table>
</file>

<file path=xl/tables/table49.xml><?xml version="1.0" encoding="utf-8"?>
<table xmlns="http://schemas.openxmlformats.org/spreadsheetml/2006/main" headerRowCount="0" ref="I34:I44" displayName="Table_49" name="Table_49" id="49">
  <tableColumns count="1">
    <tableColumn name="Column1" id="1"/>
  </tableColumns>
  <tableStyleInfo name="2015-style 6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jose.franca@ifal.edu.br" TargetMode="External"/><Relationship Id="rId10" Type="http://schemas.openxmlformats.org/officeDocument/2006/relationships/hyperlink" Target="mailto:jose.franca@ifal.edu.br" TargetMode="External"/><Relationship Id="rId13" Type="http://schemas.openxmlformats.org/officeDocument/2006/relationships/hyperlink" Target="mailto:johnnatan.duarte@ifal.edu.br" TargetMode="External"/><Relationship Id="rId12" Type="http://schemas.openxmlformats.org/officeDocument/2006/relationships/hyperlink" Target="mailto:elisangela.santos@ifal.edu.br" TargetMode="External"/><Relationship Id="rId1" Type="http://schemas.openxmlformats.org/officeDocument/2006/relationships/hyperlink" Target="mailto:johnnatan.duarte@ifal.edu.br" TargetMode="External"/><Relationship Id="rId2" Type="http://schemas.openxmlformats.org/officeDocument/2006/relationships/hyperlink" Target="mailto:fred.nogueira@ifal.edu.br" TargetMode="External"/><Relationship Id="rId3" Type="http://schemas.openxmlformats.org/officeDocument/2006/relationships/hyperlink" Target="mailto:nataly.nascimento@ifal.edu.br" TargetMode="External"/><Relationship Id="rId4" Type="http://schemas.openxmlformats.org/officeDocument/2006/relationships/hyperlink" Target="mailto:nataly.nascimento@ifal.edu.br" TargetMode="External"/><Relationship Id="rId9" Type="http://schemas.openxmlformats.org/officeDocument/2006/relationships/hyperlink" Target="mailto:aurea.raposo@ifal.edu.br" TargetMode="External"/><Relationship Id="rId15" Type="http://schemas.openxmlformats.org/officeDocument/2006/relationships/hyperlink" Target="mailto:cleber.nauber@ifal.edu.br" TargetMode="External"/><Relationship Id="rId14" Type="http://schemas.openxmlformats.org/officeDocument/2006/relationships/hyperlink" Target="mailto:cleber.nauber@ifal.edu.br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busca.inpi.gov.br/pePI/servlet/ProgramaServletController?Action=detail&amp;CodPedido=54798&amp;SearchParameter=IFAL" TargetMode="External"/><Relationship Id="rId5" Type="http://schemas.openxmlformats.org/officeDocument/2006/relationships/hyperlink" Target="mailto:elisangela.santos@ifal.edu.br" TargetMode="External"/><Relationship Id="rId6" Type="http://schemas.openxmlformats.org/officeDocument/2006/relationships/hyperlink" Target="mailto:elisangela.santos@ifal.edu.br" TargetMode="External"/><Relationship Id="rId7" Type="http://schemas.openxmlformats.org/officeDocument/2006/relationships/hyperlink" Target="mailto:elisangela.santos@ifal.edu.br" TargetMode="External"/><Relationship Id="rId8" Type="http://schemas.openxmlformats.org/officeDocument/2006/relationships/hyperlink" Target="mailto:johnnatan.duarte@ifal.edu.br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integra.ifal.edu.br/vitrine/rotina-divertida-com-hugo-e-sofia" TargetMode="External"/><Relationship Id="rId10" Type="http://schemas.openxmlformats.org/officeDocument/2006/relationships/hyperlink" Target="mailto:cleber.nauber@ifal.edu.br" TargetMode="External"/><Relationship Id="rId13" Type="http://schemas.openxmlformats.org/officeDocument/2006/relationships/hyperlink" Target="https://integra.ifal.edu.br/vitrine/simec---sistema-integrado-de-mecanica-educacional-conectada" TargetMode="External"/><Relationship Id="rId12" Type="http://schemas.openxmlformats.org/officeDocument/2006/relationships/hyperlink" Target="mailto:eduardo.sousa@ifal.edu.br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sheyla.marques@ifal.edu.br" TargetMode="External"/><Relationship Id="rId3" Type="http://schemas.openxmlformats.org/officeDocument/2006/relationships/hyperlink" Target="mailto:elisangela.santos@ifal.edu.br" TargetMode="External"/><Relationship Id="rId4" Type="http://schemas.openxmlformats.org/officeDocument/2006/relationships/hyperlink" Target="mailto:sheyla.marques@ifal.edu.br" TargetMode="External"/><Relationship Id="rId9" Type="http://schemas.openxmlformats.org/officeDocument/2006/relationships/hyperlink" Target="mailto:cleber.nauber@ifal.edu.br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integra.ifal.edu.br/vitrine/alex--active-learning-experience---uma-plataforma-virtual-para-educacao-hibrida-inclusiva-e-centrada-no-estudante" TargetMode="External"/><Relationship Id="rId5" Type="http://schemas.openxmlformats.org/officeDocument/2006/relationships/hyperlink" Target="mailto:jardelcleyson@gmail.com" TargetMode="External"/><Relationship Id="rId19" Type="http://schemas.openxmlformats.org/officeDocument/2006/relationships/table" Target="../tables/table2.xml"/><Relationship Id="rId6" Type="http://schemas.openxmlformats.org/officeDocument/2006/relationships/hyperlink" Target="https://integra.ifal.edu.br/vitrine/random-food" TargetMode="External"/><Relationship Id="rId18" Type="http://schemas.openxmlformats.org/officeDocument/2006/relationships/table" Target="../tables/table1.xml"/><Relationship Id="rId7" Type="http://schemas.openxmlformats.org/officeDocument/2006/relationships/hyperlink" Target="mailto:brenojac@ifal.edu.br" TargetMode="External"/><Relationship Id="rId8" Type="http://schemas.openxmlformats.org/officeDocument/2006/relationships/hyperlink" Target="https://integra.ifal.edu.br/vitrine/alex--active-learning-experience---uma-plataforma-virtual-para-educacao-hibrida-inclusiva-e-centrada-no-estudant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1" Type="http://schemas.openxmlformats.org/officeDocument/2006/relationships/hyperlink" Target="https://busca.inpi.gov.br/pePI/servlet/ProgramaServletController?Action=detail&amp;CodPedido=42364&amp;SearchParameter=10.825.373/0001-55" TargetMode="External"/><Relationship Id="rId10" Type="http://schemas.openxmlformats.org/officeDocument/2006/relationships/hyperlink" Target="mailto:alan.pedro@ifal.edu.br" TargetMode="External"/><Relationship Id="rId21" Type="http://schemas.openxmlformats.org/officeDocument/2006/relationships/table" Target="../tables/table6.xml"/><Relationship Id="rId13" Type="http://schemas.openxmlformats.org/officeDocument/2006/relationships/drawing" Target="../drawings/drawing4.xml"/><Relationship Id="rId12" Type="http://schemas.openxmlformats.org/officeDocument/2006/relationships/hyperlink" Target="mailto:alan.pedro@ifal.edu.br" TargetMode="External"/><Relationship Id="rId1" Type="http://schemas.openxmlformats.org/officeDocument/2006/relationships/hyperlink" Target="mailto:charles.lucena@ifal.edu.br" TargetMode="External"/><Relationship Id="rId2" Type="http://schemas.openxmlformats.org/officeDocument/2006/relationships/hyperlink" Target="mailto:roberta.alves@ifal.edu.br" TargetMode="External"/><Relationship Id="rId3" Type="http://schemas.openxmlformats.org/officeDocument/2006/relationships/hyperlink" Target="mailto:sheyla.marques@ifal.edu.br" TargetMode="External"/><Relationship Id="rId4" Type="http://schemas.openxmlformats.org/officeDocument/2006/relationships/hyperlink" Target="mailto:luiz.felipe@ifal.edu.br" TargetMode="External"/><Relationship Id="rId9" Type="http://schemas.openxmlformats.org/officeDocument/2006/relationships/hyperlink" Target="mailto:alan.pedro@ifal.edu.br" TargetMode="External"/><Relationship Id="rId5" Type="http://schemas.openxmlformats.org/officeDocument/2006/relationships/hyperlink" Target="mailto:mena1@aluno.ifal.edu.br" TargetMode="External"/><Relationship Id="rId19" Type="http://schemas.openxmlformats.org/officeDocument/2006/relationships/table" Target="../tables/table4.xml"/><Relationship Id="rId6" Type="http://schemas.openxmlformats.org/officeDocument/2006/relationships/hyperlink" Target="mailto:luiz.felipe@ifal.edu.br" TargetMode="External"/><Relationship Id="rId18" Type="http://schemas.openxmlformats.org/officeDocument/2006/relationships/table" Target="../tables/table3.xml"/><Relationship Id="rId7" Type="http://schemas.openxmlformats.org/officeDocument/2006/relationships/hyperlink" Target="mailto:tarsis.souza@ifal.edu.br" TargetMode="External"/><Relationship Id="rId8" Type="http://schemas.openxmlformats.org/officeDocument/2006/relationships/hyperlink" Target="mailto:dilliani.oliveira@ifal.edu.br" TargetMode="External"/></Relationships>
</file>

<file path=xl/worksheets/_rels/sheet5.xml.rels><?xml version="1.0" encoding="UTF-8" standalone="yes"?><Relationships xmlns="http://schemas.openxmlformats.org/package/2006/relationships"><Relationship Id="rId13" Type="http://schemas.openxmlformats.org/officeDocument/2006/relationships/table" Target="../tables/table7.xml"/><Relationship Id="rId1" Type="http://schemas.openxmlformats.org/officeDocument/2006/relationships/hyperlink" Target="mailto:johnnatan.duarte@ifal.edu.br" TargetMode="External"/><Relationship Id="rId2" Type="http://schemas.openxmlformats.org/officeDocument/2006/relationships/hyperlink" Target="mailto:sheyla.marques@ifal.edu.br" TargetMode="External"/><Relationship Id="rId3" Type="http://schemas.openxmlformats.org/officeDocument/2006/relationships/hyperlink" Target="mailto:ricardo.soares@ifal.edu.br" TargetMode="External"/><Relationship Id="rId4" Type="http://schemas.openxmlformats.org/officeDocument/2006/relationships/hyperlink" Target="mailto:davi.carnauba@ifal.edu.br" TargetMode="Externa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6" Type="http://schemas.openxmlformats.org/officeDocument/2006/relationships/table" Target="../tables/table10.xml"/><Relationship Id="rId5" Type="http://schemas.openxmlformats.org/officeDocument/2006/relationships/hyperlink" Target="mailto:sheyla.marques@ifal.edu.br" TargetMode="External"/><Relationship Id="rId6" Type="http://schemas.openxmlformats.org/officeDocument/2006/relationships/hyperlink" Target="mailto:allisson.silva@ifal.edu.br" TargetMode="External"/><Relationship Id="rId7" Type="http://schemas.openxmlformats.org/officeDocument/2006/relationships/hyperlink" Target="mailto:alessandracdelimasoares@gmail.com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3.xml"/><Relationship Id="rId1" Type="http://schemas.openxmlformats.org/officeDocument/2006/relationships/hyperlink" Target="mailto:alex.aguiar@ifal.edu.br" TargetMode="External"/><Relationship Id="rId2" Type="http://schemas.openxmlformats.org/officeDocument/2006/relationships/hyperlink" Target="mailto:sheyla.marques@ifal.edu.br" TargetMode="External"/><Relationship Id="rId3" Type="http://schemas.openxmlformats.org/officeDocument/2006/relationships/hyperlink" Target="mailto:sheyla.marques@ifal.edu.br" TargetMode="External"/><Relationship Id="rId4" Type="http://schemas.openxmlformats.org/officeDocument/2006/relationships/drawing" Target="../drawings/drawing6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.xml"/><Relationship Id="rId11" Type="http://schemas.openxmlformats.org/officeDocument/2006/relationships/hyperlink" Target="mailto:rossana.gaia@ifal.edu.br" TargetMode="External"/><Relationship Id="rId10" Type="http://schemas.openxmlformats.org/officeDocument/2006/relationships/hyperlink" Target="mailto:tarsis.souza@ifal.edu.br" TargetMode="External"/><Relationship Id="rId13" Type="http://schemas.openxmlformats.org/officeDocument/2006/relationships/hyperlink" Target="mailto:andre.sueldo@ifal.edu.br" TargetMode="External"/><Relationship Id="rId12" Type="http://schemas.openxmlformats.org/officeDocument/2006/relationships/hyperlink" Target="mailto:eduardo.frigoletto@ifal.edu.br" TargetMode="External"/><Relationship Id="rId1" Type="http://schemas.openxmlformats.org/officeDocument/2006/relationships/hyperlink" Target="mailto:renato.menezes@ifal.edu.br" TargetMode="External"/><Relationship Id="rId2" Type="http://schemas.openxmlformats.org/officeDocument/2006/relationships/hyperlink" Target="mailto:ronny.souza@ifal.edu.br" TargetMode="External"/><Relationship Id="rId3" Type="http://schemas.openxmlformats.org/officeDocument/2006/relationships/hyperlink" Target="mailto:danielle.lemos@ifal.edu.br" TargetMode="External"/><Relationship Id="rId4" Type="http://schemas.openxmlformats.org/officeDocument/2006/relationships/hyperlink" Target="mailto:neide.ferreira@ifal.edu.br" TargetMode="External"/><Relationship Id="rId9" Type="http://schemas.openxmlformats.org/officeDocument/2006/relationships/hyperlink" Target="mailto:lrs20@aluno.ifal.edu.br" TargetMode="External"/><Relationship Id="rId15" Type="http://schemas.openxmlformats.org/officeDocument/2006/relationships/hyperlink" Target="https://integra.ifal.edu.br/admin/vitrine/57" TargetMode="External"/><Relationship Id="rId14" Type="http://schemas.openxmlformats.org/officeDocument/2006/relationships/hyperlink" Target="mailto:fabio.marques@ifal.edu.br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mailto:alan.freitas@ifal.edu.br" TargetMode="External"/><Relationship Id="rId19" Type="http://schemas.openxmlformats.org/officeDocument/2006/relationships/table" Target="../tables/table14.xml"/><Relationship Id="rId6" Type="http://schemas.openxmlformats.org/officeDocument/2006/relationships/hyperlink" Target="mailto:rodrigo.moura@ifal.edu.br" TargetMode="External"/><Relationship Id="rId7" Type="http://schemas.openxmlformats.org/officeDocument/2006/relationships/hyperlink" Target="mailto:tarsis.souza@ifal.edu.br" TargetMode="External"/><Relationship Id="rId8" Type="http://schemas.openxmlformats.org/officeDocument/2006/relationships/hyperlink" Target="mailto:priscylla.sousa@ifal.edu.br" TargetMode="Externa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8.xml"/><Relationship Id="rId13" Type="http://schemas.openxmlformats.org/officeDocument/2006/relationships/table" Target="../tables/table16.xml"/><Relationship Id="rId1" Type="http://schemas.openxmlformats.org/officeDocument/2006/relationships/hyperlink" Target="mailto:sheyla.marques@ifal.edu.br" TargetMode="External"/><Relationship Id="rId2" Type="http://schemas.openxmlformats.org/officeDocument/2006/relationships/hyperlink" Target="mailto:thiago.vasconcelos@ifal.edu.br" TargetMode="External"/><Relationship Id="rId3" Type="http://schemas.openxmlformats.org/officeDocument/2006/relationships/hyperlink" Target="mailto:elisangela.santos@ifal.edu.br" TargetMode="External"/><Relationship Id="rId4" Type="http://schemas.openxmlformats.org/officeDocument/2006/relationships/hyperlink" Target="mailto:elisangela.santos@ifal.edu.br" TargetMode="External"/><Relationship Id="rId9" Type="http://schemas.openxmlformats.org/officeDocument/2006/relationships/hyperlink" Target="mailto:flavio.medeiros@ifal.edu.br" TargetMode="External"/><Relationship Id="rId14" Type="http://schemas.openxmlformats.org/officeDocument/2006/relationships/table" Target="../tables/table17.xml"/><Relationship Id="rId5" Type="http://schemas.openxmlformats.org/officeDocument/2006/relationships/hyperlink" Target="mailto:elisangela.santos@ifal.edu.br" TargetMode="External"/><Relationship Id="rId6" Type="http://schemas.openxmlformats.org/officeDocument/2006/relationships/hyperlink" Target="mailto:handrik@ifal.edu.br" TargetMode="External"/><Relationship Id="rId7" Type="http://schemas.openxmlformats.org/officeDocument/2006/relationships/hyperlink" Target="mailto:karla.cavalcante@ifal.edu.br" TargetMode="External"/><Relationship Id="rId8" Type="http://schemas.openxmlformats.org/officeDocument/2006/relationships/hyperlink" Target="mailto:flavio.medeiros@ifal.edu.br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.xml"/><Relationship Id="rId1" Type="http://schemas.openxmlformats.org/officeDocument/2006/relationships/hyperlink" Target="mailto:marcia.gomes@ifal.edu.br" TargetMode="External"/><Relationship Id="rId2" Type="http://schemas.openxmlformats.org/officeDocument/2006/relationships/hyperlink" Target="mailto:tascya.santos@ifal.edu.br" TargetMode="External"/><Relationship Id="rId3" Type="http://schemas.openxmlformats.org/officeDocument/2006/relationships/hyperlink" Target="mailto:felipe.souza@ifal.edu.br" TargetMode="External"/><Relationship Id="rId4" Type="http://schemas.openxmlformats.org/officeDocument/2006/relationships/hyperlink" Target="mailto:ingrid.melo@ifal.edu.br" TargetMode="External"/><Relationship Id="rId9" Type="http://schemas.openxmlformats.org/officeDocument/2006/relationships/hyperlink" Target="mailto:aurea.raposo@ifal.edu.br" TargetMode="External"/><Relationship Id="rId5" Type="http://schemas.openxmlformats.org/officeDocument/2006/relationships/hyperlink" Target="mailto:diogo.castro@ifal.edu.br" TargetMode="External"/><Relationship Id="rId6" Type="http://schemas.openxmlformats.org/officeDocument/2006/relationships/hyperlink" Target="mailto:jens1@aluno.ifal.edu.br" TargetMode="External"/><Relationship Id="rId29" Type="http://schemas.openxmlformats.org/officeDocument/2006/relationships/table" Target="../tables/table18.xml"/><Relationship Id="rId7" Type="http://schemas.openxmlformats.org/officeDocument/2006/relationships/hyperlink" Target="mailto:dggcl1@aluno.ifal.edu.br" TargetMode="External"/><Relationship Id="rId8" Type="http://schemas.openxmlformats.org/officeDocument/2006/relationships/hyperlink" Target="mailto:aurea.raposo@ifal.edu.br" TargetMode="External"/><Relationship Id="rId31" Type="http://schemas.openxmlformats.org/officeDocument/2006/relationships/table" Target="../tables/table20.xml"/><Relationship Id="rId30" Type="http://schemas.openxmlformats.org/officeDocument/2006/relationships/table" Target="../tables/table19.xml"/><Relationship Id="rId11" Type="http://schemas.openxmlformats.org/officeDocument/2006/relationships/hyperlink" Target="mailto:aurea.raposo@ifal.edu.br" TargetMode="External"/><Relationship Id="rId33" Type="http://schemas.openxmlformats.org/officeDocument/2006/relationships/table" Target="../tables/table22.xml"/><Relationship Id="rId10" Type="http://schemas.openxmlformats.org/officeDocument/2006/relationships/hyperlink" Target="mailto:aurea.raposo@ifal.edu.br" TargetMode="External"/><Relationship Id="rId32" Type="http://schemas.openxmlformats.org/officeDocument/2006/relationships/table" Target="../tables/table21.xml"/><Relationship Id="rId13" Type="http://schemas.openxmlformats.org/officeDocument/2006/relationships/hyperlink" Target="mailto:aurea.raposo@ifal.edu.br" TargetMode="External"/><Relationship Id="rId35" Type="http://schemas.openxmlformats.org/officeDocument/2006/relationships/table" Target="../tables/table24.xml"/><Relationship Id="rId12" Type="http://schemas.openxmlformats.org/officeDocument/2006/relationships/hyperlink" Target="mailto:aurea.raposo@ifal.edu.br" TargetMode="External"/><Relationship Id="rId34" Type="http://schemas.openxmlformats.org/officeDocument/2006/relationships/table" Target="../tables/table23.xml"/><Relationship Id="rId15" Type="http://schemas.openxmlformats.org/officeDocument/2006/relationships/hyperlink" Target="mailto:aurea.raposo@ifal.edu.br" TargetMode="External"/><Relationship Id="rId14" Type="http://schemas.openxmlformats.org/officeDocument/2006/relationships/hyperlink" Target="mailto:aurea.raposo@ifal.edu.br" TargetMode="External"/><Relationship Id="rId36" Type="http://schemas.openxmlformats.org/officeDocument/2006/relationships/table" Target="../tables/table25.xml"/><Relationship Id="rId17" Type="http://schemas.openxmlformats.org/officeDocument/2006/relationships/hyperlink" Target="mailto:aurea.raposo@ifal.edu.br" TargetMode="External"/><Relationship Id="rId16" Type="http://schemas.openxmlformats.org/officeDocument/2006/relationships/hyperlink" Target="mailto:aurea.raposo@ifal.edu.br" TargetMode="External"/><Relationship Id="rId19" Type="http://schemas.openxmlformats.org/officeDocument/2006/relationships/hyperlink" Target="mailto:aurea.raposo@ifal.edu.br" TargetMode="External"/><Relationship Id="rId18" Type="http://schemas.openxmlformats.org/officeDocument/2006/relationships/hyperlink" Target="mailto:aurea.raposo@ifal.edu.br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27.xml"/><Relationship Id="rId8" Type="http://schemas.openxmlformats.org/officeDocument/2006/relationships/table" Target="../tables/table26.xml"/><Relationship Id="rId11" Type="http://schemas.openxmlformats.org/officeDocument/2006/relationships/table" Target="../tables/table29.xml"/><Relationship Id="rId10" Type="http://schemas.openxmlformats.org/officeDocument/2006/relationships/table" Target="../tables/table28.xml"/><Relationship Id="rId13" Type="http://schemas.openxmlformats.org/officeDocument/2006/relationships/table" Target="../tables/table31.xml"/><Relationship Id="rId12" Type="http://schemas.openxmlformats.org/officeDocument/2006/relationships/table" Target="../tables/table3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33.xml"/><Relationship Id="rId8" Type="http://schemas.openxmlformats.org/officeDocument/2006/relationships/table" Target="../tables/table32.xml"/><Relationship Id="rId11" Type="http://schemas.openxmlformats.org/officeDocument/2006/relationships/table" Target="../tables/table35.xml"/><Relationship Id="rId10" Type="http://schemas.openxmlformats.org/officeDocument/2006/relationships/table" Target="../tables/table34.xml"/><Relationship Id="rId13" Type="http://schemas.openxmlformats.org/officeDocument/2006/relationships/table" Target="../tables/table37.xml"/><Relationship Id="rId12" Type="http://schemas.openxmlformats.org/officeDocument/2006/relationships/table" Target="../tables/table3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edison@ifal.edu.br" TargetMode="External"/><Relationship Id="rId2" Type="http://schemas.openxmlformats.org/officeDocument/2006/relationships/hyperlink" Target="mailto:edison@ifal.edu.br" TargetMode="External"/><Relationship Id="rId3" Type="http://schemas.openxmlformats.org/officeDocument/2006/relationships/hyperlink" Target="mailto:edison@ifal.edu.br" TargetMode="External"/><Relationship Id="rId4" Type="http://schemas.openxmlformats.org/officeDocument/2006/relationships/drawing" Target="../drawings/drawing12.xml"/><Relationship Id="rId11" Type="http://schemas.openxmlformats.org/officeDocument/2006/relationships/table" Target="../tables/table38.xml"/><Relationship Id="rId13" Type="http://schemas.openxmlformats.org/officeDocument/2006/relationships/table" Target="../tables/table40.xml"/><Relationship Id="rId12" Type="http://schemas.openxmlformats.org/officeDocument/2006/relationships/table" Target="../tables/table39.xml"/><Relationship Id="rId15" Type="http://schemas.openxmlformats.org/officeDocument/2006/relationships/table" Target="../tables/table42.xml"/><Relationship Id="rId14" Type="http://schemas.openxmlformats.org/officeDocument/2006/relationships/table" Target="../tables/table41.xml"/><Relationship Id="rId16" Type="http://schemas.openxmlformats.org/officeDocument/2006/relationships/table" Target="../tables/table4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busca.inpi.gov.br/pePI/servlet/ProgramaServletController?Action=detail&amp;CodPedido=18728&amp;SearchParameter=10.825.373/0001-55" TargetMode="External"/><Relationship Id="rId2" Type="http://schemas.openxmlformats.org/officeDocument/2006/relationships/drawing" Target="../drawings/drawing13.xml"/><Relationship Id="rId9" Type="http://schemas.openxmlformats.org/officeDocument/2006/relationships/table" Target="../tables/table44.xml"/><Relationship Id="rId11" Type="http://schemas.openxmlformats.org/officeDocument/2006/relationships/table" Target="../tables/table46.xml"/><Relationship Id="rId10" Type="http://schemas.openxmlformats.org/officeDocument/2006/relationships/table" Target="../tables/table45.xml"/><Relationship Id="rId13" Type="http://schemas.openxmlformats.org/officeDocument/2006/relationships/table" Target="../tables/table48.xml"/><Relationship Id="rId12" Type="http://schemas.openxmlformats.org/officeDocument/2006/relationships/table" Target="../tables/table47.xml"/><Relationship Id="rId14" Type="http://schemas.openxmlformats.org/officeDocument/2006/relationships/table" Target="../tables/table4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1.14"/>
    <col customWidth="1" min="2" max="2" width="18.57"/>
    <col customWidth="1" min="3" max="3" width="17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</row>
    <row r="2">
      <c r="A2" s="5"/>
      <c r="O2" s="6"/>
      <c r="P2" s="4"/>
    </row>
    <row r="3">
      <c r="A3" s="5"/>
      <c r="O3" s="6"/>
      <c r="P3" s="4"/>
    </row>
    <row r="4">
      <c r="A4" s="5"/>
      <c r="O4" s="6"/>
      <c r="P4" s="4"/>
    </row>
    <row r="5">
      <c r="A5" s="5"/>
      <c r="O5" s="6"/>
      <c r="P5" s="4"/>
    </row>
    <row r="6" ht="24.0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4"/>
    </row>
    <row r="7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4"/>
    </row>
    <row r="8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4"/>
    </row>
    <row r="9">
      <c r="A9" s="16" t="s">
        <v>2</v>
      </c>
      <c r="B9" s="16" t="s">
        <v>3</v>
      </c>
      <c r="C9" s="16">
        <v>2015.0</v>
      </c>
      <c r="D9" s="16">
        <v>2016.0</v>
      </c>
      <c r="E9" s="16">
        <v>2017.0</v>
      </c>
      <c r="F9" s="16">
        <v>2018.0</v>
      </c>
      <c r="G9" s="16">
        <v>2019.0</v>
      </c>
      <c r="H9" s="16">
        <v>2020.0</v>
      </c>
      <c r="I9" s="16">
        <v>2021.0</v>
      </c>
      <c r="J9" s="17">
        <v>2022.0</v>
      </c>
      <c r="K9" s="17">
        <v>2023.0</v>
      </c>
      <c r="L9" s="17">
        <v>2024.0</v>
      </c>
      <c r="M9" s="17">
        <v>2025.0</v>
      </c>
      <c r="N9" s="17">
        <v>2026.0</v>
      </c>
      <c r="O9" s="16" t="s">
        <v>4</v>
      </c>
      <c r="P9" s="18"/>
    </row>
    <row r="10">
      <c r="A10" s="19" t="s">
        <v>5</v>
      </c>
      <c r="B10" s="20" t="s">
        <v>6</v>
      </c>
      <c r="C10" s="20" t="s">
        <v>7</v>
      </c>
      <c r="D10" s="20" t="s">
        <v>7</v>
      </c>
      <c r="E10" s="20" t="s">
        <v>7</v>
      </c>
      <c r="F10" s="20" t="s">
        <v>7</v>
      </c>
      <c r="G10" s="21">
        <f>COUNTA('2019'!B4:B16)</f>
        <v>4</v>
      </c>
      <c r="H10" s="21">
        <f>COUNTA('2020'!B4:B16)</f>
        <v>1</v>
      </c>
      <c r="I10" s="21">
        <f>COUNTA('2021'!B4:B13)</f>
        <v>6</v>
      </c>
      <c r="J10" s="21">
        <f>COUNTA('2022'!B4:B15)</f>
        <v>7</v>
      </c>
      <c r="K10" s="21">
        <f>COUNTA('2023'!B4:B16)</f>
        <v>8</v>
      </c>
      <c r="L10" s="21">
        <f>COUNTA('2024'!B4:B16)</f>
        <v>3</v>
      </c>
      <c r="M10" s="21">
        <f>COUNTA('2025'!B4:B16)</f>
        <v>5</v>
      </c>
      <c r="N10" s="21">
        <f>COUNTA('2026'!B5:B18)</f>
        <v>14</v>
      </c>
      <c r="O10" s="21">
        <f t="shared" ref="O10:O15" si="1">SUM(C10:N10)</f>
        <v>48</v>
      </c>
      <c r="P10" s="4"/>
    </row>
    <row r="11">
      <c r="A11" s="22"/>
      <c r="B11" s="23" t="s">
        <v>8</v>
      </c>
      <c r="C11" s="23" t="s">
        <v>7</v>
      </c>
      <c r="D11" s="23" t="s">
        <v>7</v>
      </c>
      <c r="E11" s="23" t="s">
        <v>7</v>
      </c>
      <c r="F11" s="23" t="s">
        <v>7</v>
      </c>
      <c r="G11" s="23" t="s">
        <v>7</v>
      </c>
      <c r="H11" s="23" t="s">
        <v>7</v>
      </c>
      <c r="I11" s="23" t="s">
        <v>7</v>
      </c>
      <c r="J11" s="24" t="s">
        <v>7</v>
      </c>
      <c r="K11" s="24" t="s">
        <v>7</v>
      </c>
      <c r="L11" s="24" t="s">
        <v>7</v>
      </c>
      <c r="M11" s="24" t="s">
        <v>7</v>
      </c>
      <c r="N11" s="24" t="s">
        <v>7</v>
      </c>
      <c r="O11" s="23">
        <f t="shared" si="1"/>
        <v>0</v>
      </c>
      <c r="P11" s="4"/>
    </row>
    <row r="12">
      <c r="A12" s="25" t="s">
        <v>9</v>
      </c>
      <c r="B12" s="26" t="s">
        <v>6</v>
      </c>
      <c r="C12" s="26">
        <f>COUNTA('2015'!B19:B31)</f>
        <v>2</v>
      </c>
      <c r="D12" s="26">
        <f>COUNTA('2016'!B19:B31)</f>
        <v>3</v>
      </c>
      <c r="E12" s="26" t="s">
        <v>7</v>
      </c>
      <c r="F12" s="26" t="s">
        <v>7</v>
      </c>
      <c r="G12" s="26">
        <f>COUNTA('2019'!B19:B35)</f>
        <v>17</v>
      </c>
      <c r="H12" s="26">
        <f>COUNTA('2020'!B19:B31)</f>
        <v>8</v>
      </c>
      <c r="I12" s="26">
        <f>COUNTA('2021'!B16:B28)</f>
        <v>12</v>
      </c>
      <c r="J12" s="26">
        <f>COUNTA('2022'!B18:B35)</f>
        <v>18</v>
      </c>
      <c r="K12" s="26">
        <f>COUNTA('2023'!B19:B31)</f>
        <v>13</v>
      </c>
      <c r="L12" s="26">
        <f>COUNTA('2024'!B19:B31)</f>
        <v>8</v>
      </c>
      <c r="M12" s="26">
        <f>COUNTA('2025'!B19:B31)</f>
        <v>12</v>
      </c>
      <c r="N12" s="26">
        <f>COUNTA('2026'!B23:B34)</f>
        <v>8</v>
      </c>
      <c r="O12" s="26">
        <f t="shared" si="1"/>
        <v>101</v>
      </c>
      <c r="P12" s="4"/>
    </row>
    <row r="13">
      <c r="A13" s="22"/>
      <c r="B13" s="27" t="s">
        <v>8</v>
      </c>
      <c r="C13" s="27">
        <f>COUNTIF('2015'!G19:G31,C9)</f>
        <v>2</v>
      </c>
      <c r="D13" s="27">
        <f>COUNTIF('2016'!G19:G31,D9)</f>
        <v>3</v>
      </c>
      <c r="E13" s="27" t="s">
        <v>7</v>
      </c>
      <c r="F13" s="27" t="s">
        <v>7</v>
      </c>
      <c r="G13" s="27">
        <f>COUNTIF('2019'!G19:G35,G9)</f>
        <v>17</v>
      </c>
      <c r="H13" s="27">
        <f>COUNTIF('2020'!G19:G31,H9)</f>
        <v>8</v>
      </c>
      <c r="I13" s="27">
        <f>COUNTIF('2021'!G16:G28,I9)</f>
        <v>12</v>
      </c>
      <c r="J13" s="27">
        <f>COUNTIF('2022'!G18:G35,J9)</f>
        <v>18</v>
      </c>
      <c r="K13" s="27">
        <f>COUNTIF('2023'!G19:G31,K9)</f>
        <v>13</v>
      </c>
      <c r="L13" s="27">
        <f>COUNTIF('2024'!G19:G31,L9)</f>
        <v>8</v>
      </c>
      <c r="M13" s="27">
        <f>COUNTIF('2025'!G19:G31,M9)</f>
        <v>12</v>
      </c>
      <c r="N13" s="27">
        <f>COUNTIF('2026'!G23:G34,N9)</f>
        <v>8</v>
      </c>
      <c r="O13" s="27">
        <f t="shared" si="1"/>
        <v>101</v>
      </c>
      <c r="P13" s="4"/>
    </row>
    <row r="14">
      <c r="A14" s="19" t="s">
        <v>10</v>
      </c>
      <c r="B14" s="20" t="s">
        <v>6</v>
      </c>
      <c r="C14" s="20" t="s">
        <v>7</v>
      </c>
      <c r="D14" s="20" t="s">
        <v>7</v>
      </c>
      <c r="E14" s="20" t="s">
        <v>7</v>
      </c>
      <c r="F14" s="20" t="s">
        <v>7</v>
      </c>
      <c r="G14" s="21">
        <f>COUNTA('2019'!B38:B50)</f>
        <v>11</v>
      </c>
      <c r="H14" s="21" t="s">
        <v>7</v>
      </c>
      <c r="I14" s="21" t="s">
        <v>7</v>
      </c>
      <c r="J14" s="21" t="s">
        <v>7</v>
      </c>
      <c r="K14" s="21" t="s">
        <v>7</v>
      </c>
      <c r="L14" s="21" t="s">
        <v>7</v>
      </c>
      <c r="M14" s="21" t="s">
        <v>7</v>
      </c>
      <c r="N14" s="21" t="s">
        <v>7</v>
      </c>
      <c r="O14" s="21">
        <f t="shared" si="1"/>
        <v>11</v>
      </c>
      <c r="P14" s="4"/>
    </row>
    <row r="15">
      <c r="A15" s="22"/>
      <c r="B15" s="23" t="s">
        <v>8</v>
      </c>
      <c r="C15" s="23" t="s">
        <v>7</v>
      </c>
      <c r="D15" s="23" t="s">
        <v>7</v>
      </c>
      <c r="E15" s="23" t="s">
        <v>7</v>
      </c>
      <c r="F15" s="23" t="s">
        <v>7</v>
      </c>
      <c r="G15" s="24">
        <f>COUNTIF('2019'!G38:G50,G9)</f>
        <v>11</v>
      </c>
      <c r="H15" s="23" t="s">
        <v>7</v>
      </c>
      <c r="I15" s="23" t="s">
        <v>7</v>
      </c>
      <c r="J15" s="23" t="s">
        <v>7</v>
      </c>
      <c r="K15" s="23" t="s">
        <v>7</v>
      </c>
      <c r="L15" s="23" t="s">
        <v>7</v>
      </c>
      <c r="M15" s="23" t="s">
        <v>7</v>
      </c>
      <c r="N15" s="23" t="s">
        <v>7</v>
      </c>
      <c r="O15" s="23">
        <f t="shared" si="1"/>
        <v>11</v>
      </c>
      <c r="P15" s="4"/>
    </row>
    <row r="16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4"/>
    </row>
    <row r="17">
      <c r="A17" s="31"/>
      <c r="O17" s="32"/>
      <c r="P17" s="4"/>
    </row>
    <row r="18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4"/>
    </row>
    <row r="19">
      <c r="A19" s="36" t="s">
        <v>12</v>
      </c>
      <c r="B19" s="37"/>
      <c r="C19" s="40">
        <f>O10+O15+O13</f>
        <v>160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7"/>
      <c r="P19" s="4"/>
    </row>
    <row r="20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4"/>
    </row>
    <row r="21">
      <c r="A21" s="31"/>
      <c r="O21" s="32"/>
      <c r="P21" s="4"/>
    </row>
    <row r="2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P22" s="4"/>
    </row>
    <row r="23">
      <c r="A23" s="45" t="s">
        <v>23</v>
      </c>
      <c r="B23" s="49"/>
      <c r="C23" s="49"/>
      <c r="D23" s="52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6"/>
    </row>
    <row r="24">
      <c r="A24" s="64" t="s">
        <v>28</v>
      </c>
      <c r="B24" s="64" t="s">
        <v>33</v>
      </c>
      <c r="C24" s="68" t="s">
        <v>34</v>
      </c>
      <c r="D24" s="64" t="s">
        <v>4</v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4"/>
    </row>
    <row r="25">
      <c r="A25" s="81" t="s">
        <v>39</v>
      </c>
      <c r="B25" s="83" t="s">
        <v>5</v>
      </c>
      <c r="C25" s="83">
        <f>COUNTIF('2015'!D4:D16,A25)+COUNTIF('2016'!D4:D16,A25)+COUNTIF('2017'!D4:D16,A25)+COUNTIF('2018'!D4:D16,A25)+COUNTIF('2019'!D4:D16,A25)+COUNTIF('2020'!D4:D16,A25)+COUNTIF('2021'!D4:D13,A25)+COUNTIF('2022'!D4:D15,A25)+COUNTIF('2023'!D4:D16,A25)+COUNTIF('2024'!D4:D16,A25)+COUNTIF('2025'!D4:D16,A25)+COUNTIF('2026'!D5:D20,A25)</f>
        <v>15</v>
      </c>
      <c r="D25" s="97">
        <f>C25+C26+C27</f>
        <v>71</v>
      </c>
      <c r="E25" s="98" t="s">
        <v>69</v>
      </c>
      <c r="F25" s="99" t="s">
        <v>4</v>
      </c>
      <c r="G25" s="101">
        <f>G26+G27+G28</f>
        <v>160</v>
      </c>
      <c r="H25" s="102"/>
      <c r="I25" s="102"/>
      <c r="J25" s="102"/>
      <c r="K25" s="102"/>
      <c r="L25" s="102"/>
      <c r="M25" s="102"/>
      <c r="N25" s="102"/>
      <c r="O25" s="102"/>
      <c r="P25" s="103"/>
    </row>
    <row r="26">
      <c r="A26" s="104"/>
      <c r="B26" s="83" t="s">
        <v>9</v>
      </c>
      <c r="C26" s="83">
        <f>COUNTIF('2015'!D19:D31,A25)+COUNTIF('2016'!D19:D31,A25)+COUNTIF('2017'!D19:D31,A25)+COUNTIF('2018'!D19:D31,A25)+COUNTIF('2019'!D19:D35,A25)+COUNTIF('2020'!D19:D31,A25)+COUNTIF('2021'!D16:D28,A25)+COUNTIF('2022'!D18:D35,A25)+COUNTIF('2023'!D19:D31,A25)+COUNTIF('2024'!D19:D31,A25)+COUNTIF('2025'!D19:D31,A25)+COUNTIF('2026'!D23:D34,A25)</f>
        <v>45</v>
      </c>
      <c r="D26" s="116"/>
      <c r="E26" s="120">
        <v>5.0</v>
      </c>
      <c r="F26" s="122" t="s">
        <v>5</v>
      </c>
      <c r="G26" s="134">
        <f t="shared" ref="G26:G28" si="2">C25+C28+C31+C34+C37+C40+C43+C46+C49+C52+C55+C58+C61+C64+C67+C70+C73</f>
        <v>48</v>
      </c>
      <c r="H26" s="139"/>
      <c r="I26" s="139"/>
      <c r="J26" s="139"/>
      <c r="K26" s="139"/>
      <c r="L26" s="139"/>
      <c r="M26" s="139"/>
      <c r="N26" s="139"/>
      <c r="O26" s="139"/>
      <c r="P26" s="4"/>
    </row>
    <row r="27">
      <c r="A27" s="22"/>
      <c r="B27" s="83" t="s">
        <v>10</v>
      </c>
      <c r="C27" s="83">
        <f>COUNTIF('2019'!D38:D50,A25)+COUNTIF('2025'!D34:D46,A25)+COUNTIF('2026'!D37:D49,A25)</f>
        <v>11</v>
      </c>
      <c r="D27" s="13"/>
      <c r="E27" s="154">
        <v>12.0</v>
      </c>
      <c r="F27" s="155" t="s">
        <v>141</v>
      </c>
      <c r="G27" s="156">
        <f t="shared" si="2"/>
        <v>101</v>
      </c>
      <c r="H27" s="157"/>
      <c r="I27" s="139"/>
      <c r="J27" s="139"/>
      <c r="K27" s="139"/>
      <c r="L27" s="139"/>
      <c r="M27" s="139"/>
      <c r="N27" s="139"/>
      <c r="O27" s="139"/>
      <c r="P27" s="4"/>
    </row>
    <row r="28">
      <c r="A28" s="159" t="s">
        <v>142</v>
      </c>
      <c r="B28" s="161" t="s">
        <v>5</v>
      </c>
      <c r="C28" s="161">
        <f>COUNTIF('2015'!D4:D16,A28)+COUNTIF('2016'!D4:D16,A28)+COUNTIF('2017'!D4:D16,A28)+COUNTIF('2018'!D4:D16,A28)+COUNTIF('2019'!D4:D16,A28)+COUNTIF('2020'!D4:D16,A28)+COUNTIF('2021'!D4:D13,A28)+COUNTIF('2022'!D4:D15,A28)+COUNTIF('2023'!D4:D16,A28)+COUNTIF('2024'!D4:D16,A28)+COUNTIF('2025'!D4:D16,A28)+COUNTIF('2026'!D5:D18,A28)</f>
        <v>0</v>
      </c>
      <c r="D28" s="177">
        <f>C28+C29+C30</f>
        <v>16</v>
      </c>
      <c r="E28" s="179">
        <v>0.0</v>
      </c>
      <c r="F28" s="180" t="s">
        <v>174</v>
      </c>
      <c r="G28" s="139">
        <f t="shared" si="2"/>
        <v>11</v>
      </c>
      <c r="H28" s="139"/>
      <c r="I28" s="139"/>
      <c r="J28" s="139"/>
      <c r="K28" s="139"/>
      <c r="L28" s="139"/>
      <c r="M28" s="139"/>
      <c r="N28" s="139"/>
      <c r="O28" s="139"/>
      <c r="P28" s="4"/>
    </row>
    <row r="29">
      <c r="A29" s="104"/>
      <c r="B29" s="161" t="s">
        <v>9</v>
      </c>
      <c r="C29" s="161">
        <f>COUNTIF('2015'!D19:D31,A28)+COUNTIF('2016'!D19:D31,A28)+COUNTIF('2017'!D19:D31,A28)+COUNTIF('2018'!D19:D31,A28)+COUNTIF('2019'!D19:D35,A28)+COUNTIF('2020'!D19:D31,A28)+COUNTIF('2021'!D16:D28,A28)+COUNTIF('2022'!D18:D35,A28)+COUNTIF('2023'!D19:D31,A28)+COUNTIF('2024'!D19:D31,A28)+COUNTIF('2025'!D19:D31,A28)+COUNTIF('2026'!D23:D34,A28)</f>
        <v>16</v>
      </c>
      <c r="D29" s="116"/>
      <c r="E29" s="189" t="s">
        <v>197</v>
      </c>
      <c r="F29" s="139"/>
      <c r="G29" s="139"/>
      <c r="H29" s="139"/>
      <c r="I29" s="139"/>
      <c r="J29" s="139"/>
      <c r="K29" s="139"/>
      <c r="L29" s="139"/>
      <c r="M29" s="190"/>
      <c r="P29" s="4"/>
    </row>
    <row r="30">
      <c r="A30" s="22"/>
      <c r="B30" s="161" t="s">
        <v>10</v>
      </c>
      <c r="C30" s="161">
        <f>COUNTIF('2019'!D38:D50,A28)+COUNTIF('2025'!D34:D46,A28)+COUNTIF('2026'!D37:D49,A28)</f>
        <v>0</v>
      </c>
      <c r="D30" s="13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4"/>
    </row>
    <row r="31">
      <c r="A31" s="81" t="s">
        <v>209</v>
      </c>
      <c r="B31" s="83" t="s">
        <v>5</v>
      </c>
      <c r="C31" s="83">
        <f>COUNTIF('2015'!D4:D16,A31)+COUNTIF('2016'!D4:D16,A31)+COUNTIF('2017'!D4:D16,A31)+COUNTIF('2018'!D4:D16,A31)+COUNTIF('2019'!D4:D16,A31)+COUNTIF('2020'!D4:D16,A31)+COUNTIF('2021'!D4:D13,A31)+COUNTIF('2022'!D4:D15,A31)+COUNTIF('2023'!D4:D16,A31)+COUNTIF('2024'!D4:D16,A31)+COUNTIF('2025'!D4:D16,A31)+COUNTIF('2026'!D5:D18,A31)</f>
        <v>2</v>
      </c>
      <c r="D31" s="202">
        <f>C31+C32+C33</f>
        <v>3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4"/>
    </row>
    <row r="32">
      <c r="A32" s="104"/>
      <c r="B32" s="83" t="s">
        <v>9</v>
      </c>
      <c r="C32" s="83">
        <f>COUNTIF('2015'!D19:D31,A31)+COUNTIF('2016'!D19:D31,A31)+COUNTIF('2017'!D19:D31,A31)+COUNTIF('2018'!D19:D31,A31)+COUNTIF('2019'!D19:D35,A31)+COUNTIF('2020'!D19:D31,A31)+COUNTIF('2021'!D16:D28,A31)+COUNTIF('2022'!D18:D35,A31)+COUNTIF('2023'!D19:D31,A31)+COUNTIF('2024'!D19:D31,A31)+COUNTIF('2025'!D19:D31,A31)+COUNTIF('2026'!D23:D34,A31)</f>
        <v>1</v>
      </c>
      <c r="D32" s="104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4"/>
    </row>
    <row r="33">
      <c r="A33" s="22"/>
      <c r="B33" s="83" t="s">
        <v>10</v>
      </c>
      <c r="C33" s="83">
        <f>COUNTIF('2019'!D38:D50,A31)+COUNTIF('2025'!D34:D46,A31)+COUNTIF('2026'!D37:D49,A31)</f>
        <v>0</v>
      </c>
      <c r="D33" s="22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4"/>
    </row>
    <row r="34">
      <c r="A34" s="159" t="s">
        <v>284</v>
      </c>
      <c r="B34" s="161" t="s">
        <v>5</v>
      </c>
      <c r="C34" s="161">
        <f>COUNTIF('2015'!D4:D16,A34)+COUNTIF('2016'!D4:D16,A34)+COUNTIF('2017'!D4:D16,A34)+COUNTIF('2018'!D4:D16,A34)+COUNTIF('2019'!D4:D16,A34)+COUNTIF('2020'!D4:D16,A34)+COUNTIF('2021'!D4:D13,A34)+COUNTIF('2022'!D4:D15,A34)+COUNTIF('2023'!D4:D16,A34)+COUNTIF('2024'!D4:D16,A34)+COUNTIF('2025'!D4:D16,A34)+COUNTIF('2026'!D5:D18,A34)</f>
        <v>7</v>
      </c>
      <c r="D34" s="222">
        <f>C34+C35+C36</f>
        <v>16</v>
      </c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4"/>
    </row>
    <row r="35">
      <c r="A35" s="104"/>
      <c r="B35" s="161" t="s">
        <v>9</v>
      </c>
      <c r="C35" s="161">
        <f>COUNTIF('2015'!D19:D31,A34)+COUNTIF('2016'!D19:D31,A34)+COUNTIF('2017'!D19:D31,A34)+COUNTIF('2018'!D19:D31,A34)+COUNTIF('2019'!D19:D35,A34)+COUNTIF('2020'!D19:D31,A34)+COUNTIF('2021'!D16:D28,A34)+COUNTIF('2022'!D18:D35,A34)+COUNTIF('2023'!D19:D31,A34)+COUNTIF('2024'!D19:D31,A34)+COUNTIF('2025'!D19:D31,A34)+COUNTIF('2026'!D23:D34,A34)</f>
        <v>9</v>
      </c>
      <c r="D35" s="104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4"/>
    </row>
    <row r="36">
      <c r="A36" s="22"/>
      <c r="B36" s="161" t="s">
        <v>10</v>
      </c>
      <c r="C36" s="161">
        <f>COUNTIF('2019'!D38:D50,A34)+COUNTIF('2025'!D34:D46,A34)+COUNTIF('2026'!D37:D49,A34)</f>
        <v>0</v>
      </c>
      <c r="D36" s="22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4"/>
    </row>
    <row r="37">
      <c r="A37" s="81" t="s">
        <v>285</v>
      </c>
      <c r="B37" s="83" t="s">
        <v>5</v>
      </c>
      <c r="C37" s="83">
        <f>COUNTIF('2015'!D4:D16,A37)+COUNTIF('2016'!D4:D16,A37)+COUNTIF('2017'!D4:D16,A37)+COUNTIF('2018'!D4:D16,A37)+COUNTIF('2019'!D4:D16,A37)+COUNTIF('2020'!D4:D16,A37)+COUNTIF('2021'!D4:D13,A37)+COUNTIF('2022'!D4:D15,A37)+COUNTIF('2023'!D4:D16,A37)+COUNTIF('2024'!D4:D16,A37)+COUNTIF('2025'!D4:D16,A37)+COUNTIF('2026'!D5:D18,A37)</f>
        <v>0</v>
      </c>
      <c r="D37" s="202">
        <f>C37+C38+C39</f>
        <v>0</v>
      </c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4"/>
    </row>
    <row r="38">
      <c r="A38" s="104"/>
      <c r="B38" s="83" t="s">
        <v>9</v>
      </c>
      <c r="C38" s="83">
        <f>COUNTIF('2015'!D19:D31,A37)+COUNTIF('2016'!D19:D31,A37)+COUNTIF('2017'!D19:D31,A37)+COUNTIF('2018'!D19:D31,A37)+COUNTIF('2019'!D19:D35,A37)+COUNTIF('2020'!D19:D31,A37)+COUNTIF('2021'!D16:D28,A37)+COUNTIF('2022'!D18:D35,A37)+COUNTIF('2023'!D19:D31,A37)+COUNTIF('2024'!D19:D31,A37)+COUNTIF('2025'!D19:D31,A37)+COUNTIF('2026'!D23:D34,A37)</f>
        <v>0</v>
      </c>
      <c r="D38" s="104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4"/>
    </row>
    <row r="39">
      <c r="A39" s="22"/>
      <c r="B39" s="83" t="s">
        <v>10</v>
      </c>
      <c r="C39" s="83">
        <f>COUNTIF('2019'!D38:D50,A37)+COUNTIF('2025'!D34:D46,A37)+COUNTIF('2026'!D37:D49,A37)</f>
        <v>0</v>
      </c>
      <c r="D39" s="22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4"/>
    </row>
    <row r="40">
      <c r="A40" s="159" t="s">
        <v>296</v>
      </c>
      <c r="B40" s="161" t="s">
        <v>5</v>
      </c>
      <c r="C40" s="161">
        <f>COUNTIF('2015'!D4:D16,A40)+COUNTIF('2016'!D4:D16,A40)+COUNTIF('2017'!D4:D16,A40)+COUNTIF('2018'!D4:D16,A40)+COUNTIF('2019'!D4:D16,A40)+COUNTIF('2020'!D4:D16,A40)+COUNTIF('2021'!D4:D13,A40)+COUNTIF('2022'!D4:D15,A40)+COUNTIF('2023'!D4:D16,A40)+COUNTIF('2024'!D4:D16,A40)+COUNTIF('2025'!D4:D16,A40)+COUNTIF('2026'!D5:D18,A40)</f>
        <v>2</v>
      </c>
      <c r="D40" s="222">
        <f>C40+C41+C42</f>
        <v>7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4"/>
    </row>
    <row r="41">
      <c r="A41" s="104"/>
      <c r="B41" s="161" t="s">
        <v>9</v>
      </c>
      <c r="C41" s="161">
        <f>COUNTIF('2015'!D19:D31,A40)+COUNTIF('2016'!D19:D31,A40)+COUNTIF('2017'!D19:D31,A40)+COUNTIF('2018'!D19:D31,A40)+COUNTIF('2019'!D19:D35,A40)+COUNTIF('2020'!D19:D31,A40)+COUNTIF('2021'!D16:D28,A40)+COUNTIF('2022'!D18:D35,A40)+COUNTIF('2023'!D19:D31,A40)+COUNTIF('2024'!D19:D31,A40)+COUNTIF('2025'!D19:D31,A40)+COUNTIF('2026'!D23:D34,A40)</f>
        <v>5</v>
      </c>
      <c r="D41" s="104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4"/>
    </row>
    <row r="42">
      <c r="A42" s="22"/>
      <c r="B42" s="161" t="s">
        <v>10</v>
      </c>
      <c r="C42" s="161">
        <f>COUNTIF('2019'!D38:D50,A40)+COUNTIF('2025'!D34:D46,A40)+COUNTIF('2026'!D37:D49,A40)</f>
        <v>0</v>
      </c>
      <c r="D42" s="22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4"/>
    </row>
    <row r="43">
      <c r="A43" s="81" t="s">
        <v>340</v>
      </c>
      <c r="B43" s="83" t="s">
        <v>5</v>
      </c>
      <c r="C43" s="83">
        <f>COUNTIF('2015'!D4:D16,A43)+COUNTIF('2016'!D4:D16,A43)+COUNTIF('2017'!D4:D16,A43)+COUNTIF('2018'!D4:D16,A43)+COUNTIF('2019'!D4:D16,A43)+COUNTIF('2020'!D4:D16,A43)+COUNTIF('2021'!D4:D13,A43)+COUNTIF('2022'!D4:D15,A43)+COUNTIF('2023'!D4:D16,A43)+COUNTIF('2024'!D4:D16,A43)+COUNTIF('2025'!D4:D16,A43)+COUNTIF('2026'!D5:D18,A43)</f>
        <v>2</v>
      </c>
      <c r="D43" s="202">
        <f>C43+C44+C45</f>
        <v>2</v>
      </c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4"/>
    </row>
    <row r="44">
      <c r="A44" s="104"/>
      <c r="B44" s="83" t="s">
        <v>9</v>
      </c>
      <c r="C44" s="83">
        <f>COUNTIF('2015'!D19:D31,A43)+COUNTIF('2016'!D19:D31,A43)+COUNTIF('2017'!D19:D31,A43)+COUNTIF('2018'!D19:D31,A43)+COUNTIF('2019'!D19:D35,A43)+COUNTIF('2020'!D19:D31,A43)+COUNTIF('2021'!D16:D28,A43)+COUNTIF('2022'!D18:D35,A43)+COUNTIF('2023'!D19:D31,A43)+COUNTIF('2024'!D19:D31,A43)+COUNTIF('2025'!D19:D31,A43)+COUNTIF('2026'!D23:D34,A43)</f>
        <v>0</v>
      </c>
      <c r="D44" s="104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4"/>
    </row>
    <row r="45">
      <c r="A45" s="22"/>
      <c r="B45" s="83" t="s">
        <v>10</v>
      </c>
      <c r="C45" s="83">
        <f>COUNTIF('2019'!D38:D50,A43)+COUNTIF('2025'!D34:D46,A43)+COUNTIF('2026'!D37:D49,A43)</f>
        <v>0</v>
      </c>
      <c r="D45" s="22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4"/>
    </row>
    <row r="46">
      <c r="A46" s="159" t="s">
        <v>449</v>
      </c>
      <c r="B46" s="161" t="s">
        <v>5</v>
      </c>
      <c r="C46" s="161">
        <f>COUNTIF('2015'!D4:D16,A46)+COUNTIF('2016'!D4:D16,A46)+COUNTIF('2017'!D4:D16,A46)+COUNTIF('2018'!D4:D16,A46)+COUNTIF('2019'!D4:D16,A46)+COUNTIF('2020'!D4:D16,A46)+COUNTIF('2021'!D4:D13,A46)+COUNTIF('2022'!D4:D15,A46)+COUNTIF('2023'!D4:D16,A46)+COUNTIF('2024'!D4:D16,A46)+COUNTIF('2025'!D4:D16,A46)+COUNTIF('2026'!D5:D18,A46)</f>
        <v>5</v>
      </c>
      <c r="D46" s="222">
        <f>C46+C47+C48</f>
        <v>5</v>
      </c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4"/>
    </row>
    <row r="47">
      <c r="A47" s="104"/>
      <c r="B47" s="161" t="s">
        <v>9</v>
      </c>
      <c r="C47" s="161">
        <f>COUNTIF('2015'!D19:D31,A46)+COUNTIF('2016'!D19:D31,A46)+COUNTIF('2017'!D19:D31,A46)+COUNTIF('2018'!D19:D31,A46)+COUNTIF('2019'!D19:D35,A46)+COUNTIF('2020'!D19:D31,A46)+COUNTIF('2021'!D16:D28,A46)+COUNTIF('2022'!D18:D35,A46)+COUNTIF('2023'!D19:D31,A46)+COUNTIF('2024'!D19:D31,A46)+COUNTIF('2025'!D19:D31,A46)+COUNTIF('2026'!D23:D34,A46)</f>
        <v>0</v>
      </c>
      <c r="D47" s="104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4"/>
    </row>
    <row r="48">
      <c r="A48" s="22"/>
      <c r="B48" s="161" t="s">
        <v>10</v>
      </c>
      <c r="C48" s="161">
        <f>COUNTIF('2019'!D38:D50,A46)+COUNTIF('2025'!D34:D46,A46)+COUNTIF('2026'!D37:D49,A46)</f>
        <v>0</v>
      </c>
      <c r="D48" s="22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4"/>
    </row>
    <row r="49">
      <c r="A49" s="81" t="s">
        <v>475</v>
      </c>
      <c r="B49" s="83" t="s">
        <v>5</v>
      </c>
      <c r="C49" s="83">
        <f>COUNTIF('2015'!D4:D16,A49)+COUNTIF('2016'!D4:D16,A49)+COUNTIF('2017'!D4:D16,A49)+COUNTIF('2018'!D4:D16,A49)+COUNTIF('2019'!D4:D16,A49)+COUNTIF('2020'!D4:D16,A49)+COUNTIF('2021'!D4:D13,A49)+COUNTIF('2022'!D4:D15,A49)+COUNTIF('2023'!D4:D16,A49)+COUNTIF('2024'!D4:D16,A49)+COUNTIF('2025'!D4:D16,A49)+COUNTIF('2026'!D5:D18,A49)</f>
        <v>6</v>
      </c>
      <c r="D49" s="202">
        <f>C49+C50+C51</f>
        <v>10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71"/>
    </row>
    <row r="50">
      <c r="A50" s="104"/>
      <c r="B50" s="83" t="s">
        <v>9</v>
      </c>
      <c r="C50" s="83">
        <f>COUNTIF('2015'!D19:D31,A49)+COUNTIF('2016'!D19:D31,A49)+COUNTIF('2017'!D19:D31,A49)+COUNTIF('2018'!D19:D31,A49)+COUNTIF('2019'!D19:D35,A49)+COUNTIF('2020'!D19:D31,A49)+COUNTIF('2021'!D16:D28,A49)+COUNTIF('2022'!D18:D35,A49)+COUNTIF('2023'!D19:D31,A49)+COUNTIF('2024'!D19:D31,A49)+COUNTIF('2025'!D19:D31,A49)+COUNTIF('2026'!D23:D34,A49)</f>
        <v>4</v>
      </c>
      <c r="D50" s="104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71"/>
    </row>
    <row r="51">
      <c r="A51" s="22"/>
      <c r="B51" s="83" t="s">
        <v>10</v>
      </c>
      <c r="C51" s="83">
        <f>COUNTIF('2019'!D38:D50,A49)+COUNTIF('2025'!D34:D46,A49)+COUNTIF('2026'!D37:D49,A49)</f>
        <v>0</v>
      </c>
      <c r="D51" s="22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71"/>
    </row>
    <row r="52">
      <c r="A52" s="159" t="s">
        <v>525</v>
      </c>
      <c r="B52" s="161" t="s">
        <v>5</v>
      </c>
      <c r="C52" s="161">
        <f>COUNTIF('2015'!D4:D16,A52)+COUNTIF('2016'!D4:D16,A52)+COUNTIF('2017'!D4:D16,A52)+COUNTIF('2018'!D4:D16,A52)+COUNTIF('2019'!D4:D16,A52)+COUNTIF('2020'!D4:D16,A52)+COUNTIF('2021'!D4:D13,A52)+COUNTIF('2022'!D4:D15,A52)+COUNTIF('2023'!D4:D16,A52)+COUNTIF('2024'!D4:D16,A52)+COUNTIF('2025'!D4:D16,A52)+COUNTIF('2026'!D5:D18,A52)</f>
        <v>0</v>
      </c>
      <c r="D52" s="222">
        <f>C52+C53+C54</f>
        <v>0</v>
      </c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71"/>
    </row>
    <row r="53">
      <c r="A53" s="104"/>
      <c r="B53" s="161" t="s">
        <v>9</v>
      </c>
      <c r="C53" s="161">
        <f>COUNTIF('2015'!D19:D31,A52)+COUNTIF('2016'!D19:D31,A52)+COUNTIF('2017'!D19:D31,A52)+COUNTIF('2018'!D19:D31,A52)+COUNTIF('2019'!D19:D35,A52)+COUNTIF('2020'!D19:D31,A52)+COUNTIF('2021'!D16:D28,A52)+COUNTIF('2022'!D18:D35,A52)+COUNTIF('2023'!D19:D31,A52)+COUNTIF('2024'!D19:D31,A52)+COUNTIF('2025'!D19:D31,A52)+COUNTIF('2026'!D23:D34,A52)</f>
        <v>0</v>
      </c>
      <c r="D53" s="104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71"/>
    </row>
    <row r="54">
      <c r="A54" s="22"/>
      <c r="B54" s="161" t="s">
        <v>10</v>
      </c>
      <c r="C54" s="161">
        <f>COUNTIF('2019'!D38:D50,A52)+COUNTIF('2025'!D34:D46,A52)+COUNTIF('2026'!D37:D49,A52)</f>
        <v>0</v>
      </c>
      <c r="D54" s="22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71"/>
    </row>
    <row r="55">
      <c r="A55" s="81" t="s">
        <v>558</v>
      </c>
      <c r="B55" s="83" t="s">
        <v>5</v>
      </c>
      <c r="C55" s="83">
        <f>COUNTIF('2015'!D4:D16,A55)+COUNTIF('2016'!D4:D16,A55)+COUNTIF('2017'!D4:D16,A55)+COUNTIF('2018'!D4:D16,A55)+COUNTIF('2019'!D4:D16,A55)+COUNTIF('2020'!D4:D16,A55)+COUNTIF('2021'!D4:D13,A55)+COUNTIF('2022'!D4:D15,A55)+COUNTIF('2023'!D4:D16,A55)+COUNTIF('2024'!D4:D16,A55)+COUNTIF('2025'!D4:D16,A55)+COUNTIF('2026'!D5:D18,A55)</f>
        <v>2</v>
      </c>
      <c r="D55" s="202">
        <f>C55+C56+C57</f>
        <v>2</v>
      </c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71"/>
    </row>
    <row r="56">
      <c r="A56" s="104"/>
      <c r="B56" s="83" t="s">
        <v>9</v>
      </c>
      <c r="C56" s="83">
        <f>COUNTIF('2015'!D19:D31,A55)+COUNTIF('2016'!D19:D31,A55)+COUNTIF('2017'!D19:D31,A55)+COUNTIF('2018'!D19:D31,A55)+COUNTIF('2019'!D19:D35,A55)+COUNTIF('2020'!D19:D31,A55)+COUNTIF('2021'!D16:D28,A55)+COUNTIF('2022'!D18:D35,A55)+COUNTIF('2023'!D19:D31,A55)+COUNTIF('2024'!D19:D31,A55)+COUNTIF('2025'!D19:D31,A55)+COUNTIF('2026'!D23:D34,A55)</f>
        <v>0</v>
      </c>
      <c r="D56" s="104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71"/>
    </row>
    <row r="57">
      <c r="A57" s="22"/>
      <c r="B57" s="83" t="s">
        <v>10</v>
      </c>
      <c r="C57" s="83">
        <f>COUNTIF('2019'!D38:D50,A55)+COUNTIF('2025'!D34:D46,A55)+COUNTIF('2026'!D37:D49,A55)</f>
        <v>0</v>
      </c>
      <c r="D57" s="22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71"/>
    </row>
    <row r="58">
      <c r="A58" s="159" t="s">
        <v>610</v>
      </c>
      <c r="B58" s="161" t="s">
        <v>5</v>
      </c>
      <c r="C58" s="161">
        <f>COUNTIF('2015'!D4:D16,A58)+COUNTIF('2016'!D4:D16,A58)+COUNTIF('2017'!D4:D16,A58)+COUNTIF('2018'!D4:D16,A58)+COUNTIF('2019'!D4:D16,A58)+COUNTIF('2020'!D4:D16,A58)+COUNTIF('2021'!D4:D13,A58)+COUNTIF('2022'!D4:D15,A58)+COUNTIF('2023'!D4:D16,A58)+COUNTIF('2024'!D4:D16,A58)+COUNTIF('2025'!D4:D16,A58)+COUNTIF('2026'!D5:D18,A58)</f>
        <v>0</v>
      </c>
      <c r="D58" s="222">
        <f>C58+C59+C60</f>
        <v>1</v>
      </c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71"/>
    </row>
    <row r="59">
      <c r="A59" s="104"/>
      <c r="B59" s="161" t="s">
        <v>9</v>
      </c>
      <c r="C59" s="161">
        <f>COUNTIF('2015'!D19:D31,A58)+COUNTIF('2016'!D19:D31,A58)+COUNTIF('2017'!D19:D31,A58)+COUNTIF('2018'!D19:D31,A58)+COUNTIF('2019'!D19:D35,A58)+COUNTIF('2020'!D19:D31,A58)+COUNTIF('2021'!D16:D28,A58)+COUNTIF('2022'!D18:D35,A58)+COUNTIF('2023'!D19:D31,A58)+COUNTIF('2024'!D19:D31,A58)+COUNTIF('2025'!D19:D31,A58)+COUNTIF('2026'!D23:D34,A58)</f>
        <v>1</v>
      </c>
      <c r="D59" s="104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71"/>
    </row>
    <row r="60">
      <c r="A60" s="22"/>
      <c r="B60" s="161" t="s">
        <v>10</v>
      </c>
      <c r="C60" s="161">
        <f>COUNTIF('2019'!D38:D50,A58)+COUNTIF('2025'!D34:D46,A58)+COUNTIF('2026'!D37:D49,A58)</f>
        <v>0</v>
      </c>
      <c r="D60" s="22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71"/>
    </row>
    <row r="61">
      <c r="A61" s="81" t="s">
        <v>629</v>
      </c>
      <c r="B61" s="83" t="s">
        <v>5</v>
      </c>
      <c r="C61" s="83">
        <f>COUNTIF('2015'!D4:D16,A61)+COUNTIF('2016'!D4:D16,A61)+COUNTIF('2017'!D4:D16,A61)+COUNTIF('2018'!D4:D16,A61)+COUNTIF('2019'!D4:D16,A61)+COUNTIF('2020'!D4:D16,A61)+COUNTIF('2021'!D4:D13,A61)+COUNTIF('2022'!D4:D15,A61)+COUNTIF('2023'!D4:D16,A61)+COUNTIF('2024'!D4:D16,A61)+COUNTIF('2025'!D4:D16,A61)+COUNTIF('2026'!D5:D18,A61)</f>
        <v>7</v>
      </c>
      <c r="D61" s="202">
        <f>C61+C62+C63</f>
        <v>13</v>
      </c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71"/>
    </row>
    <row r="62">
      <c r="A62" s="104"/>
      <c r="B62" s="83" t="s">
        <v>9</v>
      </c>
      <c r="C62" s="83">
        <f>COUNTIF('2015'!D19:D31,A61)+COUNTIF('2016'!D19:D31,A61)+COUNTIF('2017'!D19:D31,A61)+COUNTIF('2018'!D19:D31,A61)+COUNTIF('2019'!D19:D35,A61)+COUNTIF('2020'!D19:D31,A61)+COUNTIF('2021'!D16:D28,A61)+COUNTIF('2022'!D18:D35,A61)+COUNTIF('2023'!D19:D31,A61)+COUNTIF('2024'!D19:D31,A61)+COUNTIF('2025'!D19:D31,A61)+COUNTIF('2026'!D23:D34,A61)</f>
        <v>6</v>
      </c>
      <c r="D62" s="104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71"/>
    </row>
    <row r="63">
      <c r="A63" s="22"/>
      <c r="B63" s="83" t="s">
        <v>10</v>
      </c>
      <c r="C63" s="83">
        <f>COUNTIF('2019'!D38:D50,A61)+COUNTIF('2025'!D34:D46,A61)+COUNTIF('2026'!D37:D49,A61)</f>
        <v>0</v>
      </c>
      <c r="D63" s="22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71"/>
    </row>
    <row r="64">
      <c r="A64" s="159" t="s">
        <v>680</v>
      </c>
      <c r="B64" s="161" t="s">
        <v>5</v>
      </c>
      <c r="C64" s="161">
        <f>COUNTIF('2015'!D4:D16,A64)+COUNTIF('2016'!D4:D16,A64)+COUNTIF('2017'!D4:D16,A64)+COUNTIF('2018'!D4:D16,A64)+COUNTIF('2019'!D4:D16,A64)+COUNTIF('2020'!D4:D16,A64)+COUNTIF('2021'!D4:D13,A64)+COUNTIF('2022'!D4:D15,A64)+COUNTIF('2023'!D4:D16,A64)+COUNTIF('2024'!D4:D16,A64)+COUNTIF('2025'!D4:D16,A64)+COUNTIF('2026'!D5:D18,A64)</f>
        <v>0</v>
      </c>
      <c r="D64" s="222">
        <f>C64+C65+C66</f>
        <v>0</v>
      </c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71"/>
    </row>
    <row r="65">
      <c r="A65" s="104"/>
      <c r="B65" s="161" t="s">
        <v>9</v>
      </c>
      <c r="C65" s="161">
        <f>COUNTIF('2015'!D19:D31,A64)+COUNTIF('2016'!D19:D31,A64)+COUNTIF('2017'!D19:D31,A64)+COUNTIF('2018'!D19:D31,A64)+COUNTIF('2019'!D19:D35,A64)+COUNTIF('2020'!D19:D31,A64)+COUNTIF('2021'!D16:D28,A64)+COUNTIF('2022'!D18:D35,A64)+COUNTIF('2023'!D19:D31,A64)+COUNTIF('2024'!D19:D31,A64)+COUNTIF('2025'!D19:D31,A64)+COUNTIF('2026'!D23:D34,A64)</f>
        <v>0</v>
      </c>
      <c r="D65" s="104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71"/>
    </row>
    <row r="66">
      <c r="A66" s="22"/>
      <c r="B66" s="161" t="s">
        <v>10</v>
      </c>
      <c r="C66" s="161">
        <f>COUNTIF('2019'!D38:D50,A64)+COUNTIF('2025'!D34:D46,A64)+COUNTIF('2026'!D37:D49,A64)</f>
        <v>0</v>
      </c>
      <c r="D66" s="22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71"/>
    </row>
    <row r="67">
      <c r="A67" s="81" t="s">
        <v>720</v>
      </c>
      <c r="B67" s="83" t="s">
        <v>5</v>
      </c>
      <c r="C67" s="83">
        <f>COUNTIF('2015'!D4:D16,A67)+COUNTIF('2016'!D4:D16,A67)+COUNTIF('2017'!D4:D16,A67)+COUNTIF('2018'!D4:D16,A67)+COUNTIF('2019'!D4:D16,A67)+COUNTIF('2020'!D4:D16,A67)+COUNTIF('2021'!D4:D13,A67)+COUNTIF('2022'!D4:D15,A67)+COUNTIF('2023'!D4:D16,A67)+COUNTIF('2024'!D4:D16,A67)+COUNTIF('2025'!D4:D16,A67)+COUNTIF('2026'!D5:D18,A67)</f>
        <v>0</v>
      </c>
      <c r="D67" s="202">
        <f>C67+C68+C69</f>
        <v>2</v>
      </c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71"/>
    </row>
    <row r="68">
      <c r="A68" s="104"/>
      <c r="B68" s="83" t="s">
        <v>9</v>
      </c>
      <c r="C68" s="83">
        <f>COUNTIF('2015'!D19:D31,A67)+COUNTIF('2016'!D19:D31,A67)+COUNTIF('2017'!D19:D31,A67)+COUNTIF('2018'!D19:D31,A67)+COUNTIF('2019'!D19:D35,A67)+COUNTIF('2020'!D19:D31,A67)+COUNTIF('2021'!D16:D28,A67)+COUNTIF('2022'!D18:D35,A67)+COUNTIF('2023'!D19:D31,A67)+COUNTIF('2024'!D19:D31,A67)+COUNTIF('2025'!D19:D31,A67)+COUNTIF('2026'!D23:D34,A67)</f>
        <v>2</v>
      </c>
      <c r="D68" s="104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71"/>
    </row>
    <row r="69">
      <c r="A69" s="22"/>
      <c r="B69" s="83" t="s">
        <v>10</v>
      </c>
      <c r="C69" s="83">
        <f>COUNTIF('2019'!D38:D50,A67)+COUNTIF('2025'!D34:D46,A67)+COUNTIF('2026'!D37:D49,A67)</f>
        <v>0</v>
      </c>
      <c r="D69" s="22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71"/>
    </row>
    <row r="70">
      <c r="A70" s="159" t="s">
        <v>722</v>
      </c>
      <c r="B70" s="161" t="s">
        <v>5</v>
      </c>
      <c r="C70" s="161">
        <f>COUNTIF('2015'!D4:D16,A70)+COUNTIF('2016'!D4:D16,A70)+COUNTIF('2017'!D4:D16,A70)+COUNTIF('2018'!D4:D16,A70)+COUNTIF('2019'!D4:D16,A70)+COUNTIF('2020'!D4:D16,A70)+COUNTIF('2021'!D4:D13,A70)+COUNTIF('2022'!D4:D15,A70)+COUNTIF('2023'!D4:D16,A70)+COUNTIF('2024'!D4:D16,A70)+COUNTIF('2025'!D4:D16,A70)+COUNTIF('2026'!D5:D18,A70)</f>
        <v>0</v>
      </c>
      <c r="D70" s="222">
        <f>C70+C71+C72</f>
        <v>0</v>
      </c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71"/>
    </row>
    <row r="71">
      <c r="A71" s="104"/>
      <c r="B71" s="161" t="s">
        <v>9</v>
      </c>
      <c r="C71" s="161">
        <f>COUNTIF('2015'!D19:D31,A70)+COUNTIF('2016'!D19:D31,A70)+COUNTIF('2017'!D19:D31,A70)+COUNTIF('2018'!D19:D31,A70)+COUNTIF('2019'!D19:D35,A70)+COUNTIF('2020'!D19:D31,A70)+COUNTIF('2021'!D16:D28,A70)+COUNTIF('2022'!D18:D35,A70)+COUNTIF('2023'!D19:D31,A70)+COUNTIF('2024'!D19:D31,A70)+COUNTIF('2025'!D19:D31,A70)+COUNTIF('2026'!D23:D34,A70)</f>
        <v>0</v>
      </c>
      <c r="D71" s="104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71"/>
    </row>
    <row r="72">
      <c r="A72" s="22"/>
      <c r="B72" s="161" t="s">
        <v>10</v>
      </c>
      <c r="C72" s="161">
        <f>COUNTIF('2019'!D38:D50,A70)+COUNTIF('2025'!D34:D46,A70)+COUNTIF('2026'!D37:D49,A70)</f>
        <v>0</v>
      </c>
      <c r="D72" s="22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71"/>
    </row>
    <row r="73">
      <c r="A73" s="81" t="s">
        <v>737</v>
      </c>
      <c r="B73" s="83" t="s">
        <v>5</v>
      </c>
      <c r="C73" s="83">
        <f>COUNTIF('2015'!D4:D16,A73)+COUNTIF('2016'!D4:D16,A73)+COUNTIF('2017'!D4:D16,A73)+COUNTIF('2018'!D4:D16,A73)+COUNTIF('2019'!D4:D16,A73)+COUNTIF('2020'!D4:D16,A73)+COUNTIF('2021'!D4:D13,A73)+COUNTIF('2022'!D4:D15,A73)+COUNTIF('2023'!D4:D16,A73)+COUNTIF('2024'!D4:D16,A73)+COUNTIF('2025'!D4:D16,A73)+COUNTIF('2026'!D5:D18,A73)</f>
        <v>0</v>
      </c>
      <c r="D73" s="202">
        <f>C73+C74+C75</f>
        <v>12</v>
      </c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71"/>
    </row>
    <row r="74">
      <c r="A74" s="104"/>
      <c r="B74" s="83" t="s">
        <v>9</v>
      </c>
      <c r="C74" s="83">
        <f>COUNTIF('2015'!D19:D31,A73)+COUNTIF('2016'!D19:D31,A73)+COUNTIF('2017'!D19:D31,A73)+COUNTIF('2018'!D19:D31,A73)+COUNTIF('2019'!D19:D35,A73)+COUNTIF('2020'!D19:D31,A73)+COUNTIF('2021'!D16:D28,A73)+COUNTIF('2022'!D18:D35,A73)+COUNTIF('2023'!D19:D31,A73)+COUNTIF('2024'!D19:D31,A73)+COUNTIF('2025'!D19:D31,A73)+COUNTIF('2026'!D23:D34,A73)</f>
        <v>12</v>
      </c>
      <c r="D74" s="104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4"/>
    </row>
    <row r="75">
      <c r="A75" s="22"/>
      <c r="B75" s="83" t="s">
        <v>10</v>
      </c>
      <c r="C75" s="83">
        <f>COUNTIF('2019'!D38:D50,A73)+COUNTIF('2025'!D34:D46,A73)+COUNTIF('2026'!D37:D49,A73)</f>
        <v>0</v>
      </c>
      <c r="D75" s="22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4"/>
    </row>
    <row r="76">
      <c r="A76" s="344"/>
    </row>
    <row r="77">
      <c r="A77" s="346"/>
    </row>
  </sheetData>
  <mergeCells count="47">
    <mergeCell ref="A1:O6"/>
    <mergeCell ref="A7:O8"/>
    <mergeCell ref="A10:A11"/>
    <mergeCell ref="A12:A13"/>
    <mergeCell ref="A14:A15"/>
    <mergeCell ref="A16:O18"/>
    <mergeCell ref="A19:B19"/>
    <mergeCell ref="C19:O19"/>
    <mergeCell ref="A20:O22"/>
    <mergeCell ref="A23:D23"/>
    <mergeCell ref="A25:A27"/>
    <mergeCell ref="D25:D27"/>
    <mergeCell ref="D28:D30"/>
    <mergeCell ref="M29:O29"/>
    <mergeCell ref="D37:D39"/>
    <mergeCell ref="D40:D42"/>
    <mergeCell ref="A28:A30"/>
    <mergeCell ref="A31:A33"/>
    <mergeCell ref="D31:D33"/>
    <mergeCell ref="A34:A36"/>
    <mergeCell ref="D34:D36"/>
    <mergeCell ref="A37:A39"/>
    <mergeCell ref="A40:A42"/>
    <mergeCell ref="A52:A54"/>
    <mergeCell ref="A55:A57"/>
    <mergeCell ref="A58:A60"/>
    <mergeCell ref="A61:A63"/>
    <mergeCell ref="A64:A66"/>
    <mergeCell ref="A67:A69"/>
    <mergeCell ref="A70:A72"/>
    <mergeCell ref="A73:A75"/>
    <mergeCell ref="A43:A45"/>
    <mergeCell ref="D43:D45"/>
    <mergeCell ref="A46:A48"/>
    <mergeCell ref="D46:D48"/>
    <mergeCell ref="A49:A51"/>
    <mergeCell ref="D49:D51"/>
    <mergeCell ref="D52:D54"/>
    <mergeCell ref="A76:P76"/>
    <mergeCell ref="A77:P77"/>
    <mergeCell ref="D55:D57"/>
    <mergeCell ref="D58:D60"/>
    <mergeCell ref="D61:D63"/>
    <mergeCell ref="D64:D66"/>
    <mergeCell ref="D67:D69"/>
    <mergeCell ref="D70:D72"/>
    <mergeCell ref="D73:D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106.43"/>
    <col customWidth="1" min="3" max="3" width="25.43"/>
    <col customWidth="1" min="4" max="4" width="18.43"/>
    <col customWidth="1" min="5" max="5" width="33.43"/>
    <col customWidth="1" min="6" max="6" width="34.29"/>
    <col customWidth="1" min="7" max="7" width="19.57"/>
    <col customWidth="1" min="8" max="8" width="26.29"/>
    <col customWidth="1" min="9" max="9" width="23.43"/>
    <col customWidth="1" min="10" max="10" width="5.71"/>
  </cols>
  <sheetData>
    <row r="1" ht="79.5" customHeight="1">
      <c r="A1" s="38" t="s">
        <v>11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41" t="s">
        <v>13</v>
      </c>
      <c r="B2" s="39"/>
      <c r="C2" s="39"/>
      <c r="D2" s="39"/>
      <c r="E2" s="39"/>
      <c r="F2" s="39"/>
      <c r="G2" s="39"/>
      <c r="H2" s="39"/>
      <c r="I2" s="37"/>
      <c r="J2" s="42"/>
    </row>
    <row r="3">
      <c r="A3" s="43" t="s">
        <v>15</v>
      </c>
      <c r="B3" s="43" t="s">
        <v>16</v>
      </c>
      <c r="C3" s="43" t="s">
        <v>17</v>
      </c>
      <c r="D3" s="43" t="s">
        <v>18</v>
      </c>
      <c r="E3" s="43" t="s">
        <v>19</v>
      </c>
      <c r="F3" s="43" t="s">
        <v>20</v>
      </c>
      <c r="G3" s="44" t="s">
        <v>21</v>
      </c>
      <c r="H3" s="44" t="s">
        <v>24</v>
      </c>
      <c r="I3" s="44" t="s">
        <v>25</v>
      </c>
      <c r="J3" s="48"/>
    </row>
    <row r="4">
      <c r="A4" s="50">
        <v>1.0</v>
      </c>
      <c r="B4" s="61" t="s">
        <v>26</v>
      </c>
      <c r="C4" s="66" t="s">
        <v>30</v>
      </c>
      <c r="D4" s="72" t="s">
        <v>31</v>
      </c>
      <c r="E4" s="80" t="s">
        <v>37</v>
      </c>
      <c r="F4" s="85" t="s">
        <v>35</v>
      </c>
      <c r="G4" s="71">
        <v>2026.0</v>
      </c>
      <c r="H4" s="61" t="s">
        <v>47</v>
      </c>
      <c r="I4" s="77" t="s">
        <v>48</v>
      </c>
      <c r="J4" s="87"/>
    </row>
    <row r="5">
      <c r="A5" s="50">
        <v>2.0</v>
      </c>
      <c r="B5" s="62" t="s">
        <v>49</v>
      </c>
      <c r="C5" s="66" t="s">
        <v>50</v>
      </c>
      <c r="D5" s="89" t="s">
        <v>46</v>
      </c>
      <c r="E5" s="90" t="s">
        <v>54</v>
      </c>
      <c r="F5" s="92" t="s">
        <v>35</v>
      </c>
      <c r="G5" s="89">
        <v>2026.0</v>
      </c>
      <c r="H5" s="94" t="s">
        <v>61</v>
      </c>
      <c r="I5" s="66" t="s">
        <v>63</v>
      </c>
      <c r="J5" s="48"/>
    </row>
    <row r="6">
      <c r="A6" s="50">
        <v>3.0</v>
      </c>
      <c r="B6" s="62" t="s">
        <v>64</v>
      </c>
      <c r="C6" s="66" t="s">
        <v>65</v>
      </c>
      <c r="D6" s="89" t="s">
        <v>66</v>
      </c>
      <c r="E6" s="105" t="s">
        <v>67</v>
      </c>
      <c r="F6" s="92" t="s">
        <v>35</v>
      </c>
      <c r="G6" s="89">
        <v>2026.0</v>
      </c>
      <c r="H6" s="66" t="s">
        <v>70</v>
      </c>
      <c r="I6" s="66" t="s">
        <v>71</v>
      </c>
      <c r="J6" s="48"/>
    </row>
    <row r="7">
      <c r="A7" s="50">
        <v>4.0</v>
      </c>
      <c r="B7" s="62" t="s">
        <v>72</v>
      </c>
      <c r="C7" s="66" t="s">
        <v>73</v>
      </c>
      <c r="D7" s="89" t="s">
        <v>66</v>
      </c>
      <c r="E7" s="105" t="s">
        <v>75</v>
      </c>
      <c r="F7" s="92" t="s">
        <v>35</v>
      </c>
      <c r="G7" s="89">
        <v>2026.0</v>
      </c>
      <c r="H7" s="89" t="s">
        <v>77</v>
      </c>
      <c r="I7" s="66" t="s">
        <v>78</v>
      </c>
      <c r="J7" s="48"/>
    </row>
    <row r="8">
      <c r="A8" s="50">
        <v>5.0</v>
      </c>
      <c r="B8" s="62" t="s">
        <v>79</v>
      </c>
      <c r="C8" s="66" t="s">
        <v>80</v>
      </c>
      <c r="D8" s="89" t="s">
        <v>56</v>
      </c>
      <c r="E8" s="90" t="s">
        <v>81</v>
      </c>
      <c r="F8" s="92" t="s">
        <v>35</v>
      </c>
      <c r="G8" s="89">
        <v>2026.0</v>
      </c>
      <c r="H8" s="75" t="s">
        <v>91</v>
      </c>
      <c r="I8" s="66" t="s">
        <v>92</v>
      </c>
      <c r="J8" s="48"/>
    </row>
    <row r="9">
      <c r="A9" s="50">
        <v>6.0</v>
      </c>
      <c r="B9" s="62" t="s">
        <v>93</v>
      </c>
      <c r="C9" s="66" t="s">
        <v>94</v>
      </c>
      <c r="D9" s="89" t="s">
        <v>56</v>
      </c>
      <c r="E9" s="90" t="s">
        <v>96</v>
      </c>
      <c r="F9" s="92" t="s">
        <v>35</v>
      </c>
      <c r="G9" s="89">
        <v>2026.0</v>
      </c>
      <c r="H9" s="75" t="s">
        <v>97</v>
      </c>
      <c r="I9" s="66" t="s">
        <v>98</v>
      </c>
      <c r="J9" s="48"/>
    </row>
    <row r="10">
      <c r="A10" s="50">
        <v>7.0</v>
      </c>
      <c r="B10" s="119" t="s">
        <v>99</v>
      </c>
      <c r="C10" s="66" t="s">
        <v>100</v>
      </c>
      <c r="D10" s="89" t="s">
        <v>56</v>
      </c>
      <c r="E10" s="125" t="s">
        <v>101</v>
      </c>
      <c r="F10" s="85" t="s">
        <v>35</v>
      </c>
      <c r="G10" s="89">
        <v>2026.0</v>
      </c>
      <c r="H10" s="66" t="s">
        <v>106</v>
      </c>
      <c r="I10" s="66" t="s">
        <v>107</v>
      </c>
      <c r="J10" s="87"/>
    </row>
    <row r="11">
      <c r="A11" s="50">
        <v>8.0</v>
      </c>
      <c r="B11" s="62" t="s">
        <v>109</v>
      </c>
      <c r="C11" s="66" t="s">
        <v>110</v>
      </c>
      <c r="D11" s="89" t="s">
        <v>46</v>
      </c>
      <c r="E11" s="125" t="s">
        <v>111</v>
      </c>
      <c r="F11" s="85" t="s">
        <v>35</v>
      </c>
      <c r="G11" s="89">
        <v>2026.0</v>
      </c>
      <c r="H11" s="119" t="s">
        <v>112</v>
      </c>
      <c r="I11" s="66" t="s">
        <v>113</v>
      </c>
      <c r="J11" s="87"/>
    </row>
    <row r="12">
      <c r="A12" s="50">
        <v>9.0</v>
      </c>
      <c r="B12" s="66" t="s">
        <v>114</v>
      </c>
      <c r="C12" s="66" t="s">
        <v>115</v>
      </c>
      <c r="D12" s="89" t="s">
        <v>46</v>
      </c>
      <c r="E12" s="125" t="s">
        <v>116</v>
      </c>
      <c r="F12" s="85" t="s">
        <v>35</v>
      </c>
      <c r="G12" s="71">
        <v>2026.0</v>
      </c>
      <c r="H12" s="66" t="s">
        <v>117</v>
      </c>
      <c r="I12" s="66" t="s">
        <v>118</v>
      </c>
      <c r="J12" s="133"/>
    </row>
    <row r="13">
      <c r="A13" s="135">
        <v>10.0</v>
      </c>
      <c r="B13" s="66" t="s">
        <v>121</v>
      </c>
      <c r="C13" s="66" t="s">
        <v>122</v>
      </c>
      <c r="D13" s="71" t="s">
        <v>31</v>
      </c>
      <c r="E13" s="125" t="s">
        <v>124</v>
      </c>
      <c r="F13" s="85" t="s">
        <v>35</v>
      </c>
      <c r="G13" s="71">
        <v>2026.0</v>
      </c>
      <c r="H13" s="66" t="s">
        <v>125</v>
      </c>
      <c r="I13" s="71" t="s">
        <v>126</v>
      </c>
      <c r="J13" s="133"/>
    </row>
    <row r="14">
      <c r="A14" s="50">
        <v>11.0</v>
      </c>
      <c r="B14" s="61" t="s">
        <v>127</v>
      </c>
      <c r="C14" s="143" t="s">
        <v>128</v>
      </c>
      <c r="D14" s="71" t="s">
        <v>46</v>
      </c>
      <c r="E14" s="144" t="s">
        <v>129</v>
      </c>
      <c r="F14" s="85" t="s">
        <v>35</v>
      </c>
      <c r="G14" s="66">
        <v>2026.0</v>
      </c>
      <c r="H14" s="66" t="s">
        <v>130</v>
      </c>
      <c r="I14" s="66" t="s">
        <v>131</v>
      </c>
      <c r="J14" s="145"/>
    </row>
    <row r="15">
      <c r="A15" s="50">
        <v>12.0</v>
      </c>
      <c r="B15" s="108" t="s">
        <v>133</v>
      </c>
      <c r="C15" s="108" t="s">
        <v>134</v>
      </c>
      <c r="D15" s="71" t="s">
        <v>46</v>
      </c>
      <c r="E15" s="108" t="s">
        <v>135</v>
      </c>
      <c r="F15" s="147" t="s">
        <v>35</v>
      </c>
      <c r="G15" s="66">
        <v>2026.0</v>
      </c>
      <c r="H15" s="149" t="s">
        <v>137</v>
      </c>
      <c r="I15" s="150" t="s">
        <v>76</v>
      </c>
      <c r="J15" s="152"/>
    </row>
    <row r="16">
      <c r="A16" s="135">
        <v>13.0</v>
      </c>
      <c r="B16" s="61" t="s">
        <v>138</v>
      </c>
      <c r="C16" s="66" t="s">
        <v>122</v>
      </c>
      <c r="D16" s="71" t="s">
        <v>31</v>
      </c>
      <c r="E16" s="125" t="s">
        <v>139</v>
      </c>
      <c r="F16" s="85" t="s">
        <v>35</v>
      </c>
      <c r="G16" s="66">
        <v>2026.0</v>
      </c>
      <c r="H16" s="162" t="s">
        <v>140</v>
      </c>
      <c r="I16" s="66" t="s">
        <v>144</v>
      </c>
      <c r="J16" s="133"/>
    </row>
    <row r="17">
      <c r="A17" s="135">
        <v>14.0</v>
      </c>
      <c r="B17" s="61" t="s">
        <v>145</v>
      </c>
      <c r="C17" s="61" t="s">
        <v>146</v>
      </c>
      <c r="D17" s="72" t="s">
        <v>56</v>
      </c>
      <c r="E17" s="90" t="s">
        <v>148</v>
      </c>
      <c r="F17" s="85" t="s">
        <v>35</v>
      </c>
      <c r="G17" s="66">
        <v>2026.0</v>
      </c>
      <c r="H17" s="162" t="s">
        <v>150</v>
      </c>
      <c r="I17" s="66" t="s">
        <v>151</v>
      </c>
      <c r="J17" s="133"/>
    </row>
    <row r="18">
      <c r="A18" s="169">
        <v>15.0</v>
      </c>
      <c r="B18" s="170" t="s">
        <v>156</v>
      </c>
      <c r="C18" s="61" t="s">
        <v>157</v>
      </c>
      <c r="D18" s="71" t="s">
        <v>46</v>
      </c>
      <c r="E18" s="125" t="s">
        <v>158</v>
      </c>
      <c r="F18" s="85" t="s">
        <v>35</v>
      </c>
      <c r="G18" s="66">
        <v>2026.0</v>
      </c>
      <c r="H18" s="61" t="s">
        <v>159</v>
      </c>
      <c r="I18" s="77" t="s">
        <v>160</v>
      </c>
      <c r="J18" s="133"/>
    </row>
    <row r="19">
      <c r="A19" s="169">
        <v>16.0</v>
      </c>
      <c r="B19" s="61"/>
      <c r="C19" s="171"/>
      <c r="D19" s="91"/>
      <c r="E19" s="144"/>
      <c r="F19" s="85"/>
      <c r="G19" s="91"/>
      <c r="H19" s="91"/>
      <c r="I19" s="66"/>
      <c r="J19" s="145"/>
    </row>
    <row r="20">
      <c r="A20" s="169">
        <v>17.0</v>
      </c>
      <c r="B20" s="145"/>
      <c r="C20" s="145"/>
      <c r="D20" s="145"/>
      <c r="E20" s="145"/>
      <c r="F20" s="85"/>
      <c r="G20" s="145"/>
      <c r="H20" s="145"/>
      <c r="I20" s="145"/>
      <c r="J20" s="145"/>
    </row>
    <row r="21">
      <c r="A21" s="41" t="s">
        <v>123</v>
      </c>
      <c r="B21" s="39"/>
      <c r="C21" s="39"/>
      <c r="D21" s="39"/>
      <c r="E21" s="39"/>
      <c r="F21" s="39"/>
      <c r="G21" s="39"/>
      <c r="H21" s="39"/>
      <c r="I21" s="37"/>
      <c r="J21" s="42"/>
    </row>
    <row r="22">
      <c r="A22" s="43" t="s">
        <v>15</v>
      </c>
      <c r="B22" s="43" t="s">
        <v>16</v>
      </c>
      <c r="C22" s="43" t="s">
        <v>17</v>
      </c>
      <c r="D22" s="43" t="s">
        <v>18</v>
      </c>
      <c r="E22" s="43" t="s">
        <v>19</v>
      </c>
      <c r="F22" s="43" t="s">
        <v>20</v>
      </c>
      <c r="G22" s="44" t="s">
        <v>21</v>
      </c>
      <c r="H22" s="44" t="s">
        <v>24</v>
      </c>
      <c r="I22" s="44" t="s">
        <v>25</v>
      </c>
      <c r="J22" s="48"/>
    </row>
    <row r="23">
      <c r="A23" s="79">
        <v>1.0</v>
      </c>
      <c r="B23" s="123" t="s">
        <v>168</v>
      </c>
      <c r="C23" s="117" t="s">
        <v>170</v>
      </c>
      <c r="D23" s="117" t="s">
        <v>46</v>
      </c>
      <c r="E23" s="181" t="s">
        <v>171</v>
      </c>
      <c r="F23" s="182" t="s">
        <v>147</v>
      </c>
      <c r="G23" s="117">
        <v>2026.0</v>
      </c>
      <c r="H23" s="123" t="s">
        <v>179</v>
      </c>
      <c r="I23" s="166" t="s">
        <v>181</v>
      </c>
      <c r="J23" s="184"/>
    </row>
    <row r="24">
      <c r="A24" s="79">
        <v>2.0</v>
      </c>
      <c r="B24" s="123" t="s">
        <v>183</v>
      </c>
      <c r="C24" s="117" t="s">
        <v>184</v>
      </c>
      <c r="D24" s="117" t="s">
        <v>46</v>
      </c>
      <c r="E24" s="181" t="s">
        <v>185</v>
      </c>
      <c r="F24" s="182" t="s">
        <v>147</v>
      </c>
      <c r="G24" s="117">
        <v>2026.0</v>
      </c>
      <c r="H24" s="123" t="s">
        <v>187</v>
      </c>
      <c r="I24" s="166" t="s">
        <v>188</v>
      </c>
      <c r="J24" s="184"/>
    </row>
    <row r="25">
      <c r="A25" s="79">
        <v>3.0</v>
      </c>
      <c r="B25" s="186" t="s">
        <v>189</v>
      </c>
      <c r="C25" s="187" t="s">
        <v>191</v>
      </c>
      <c r="D25" s="117" t="s">
        <v>46</v>
      </c>
      <c r="E25" s="187" t="s">
        <v>195</v>
      </c>
      <c r="F25" s="182" t="s">
        <v>147</v>
      </c>
      <c r="G25" s="117">
        <v>2026.0</v>
      </c>
      <c r="H25" s="194" t="s">
        <v>198</v>
      </c>
      <c r="I25" s="166" t="s">
        <v>220</v>
      </c>
      <c r="J25" s="184"/>
    </row>
    <row r="26">
      <c r="A26" s="79">
        <v>4.0</v>
      </c>
      <c r="B26" s="146" t="s">
        <v>221</v>
      </c>
      <c r="C26" s="146" t="s">
        <v>191</v>
      </c>
      <c r="D26" s="117" t="s">
        <v>46</v>
      </c>
      <c r="E26" s="187" t="s">
        <v>195</v>
      </c>
      <c r="F26" s="182" t="s">
        <v>147</v>
      </c>
      <c r="G26" s="166">
        <v>2026.0</v>
      </c>
      <c r="H26" s="166" t="s">
        <v>223</v>
      </c>
      <c r="I26" s="197" t="s">
        <v>224</v>
      </c>
      <c r="J26" s="199"/>
    </row>
    <row r="27">
      <c r="A27" s="79">
        <v>5.0</v>
      </c>
      <c r="B27" s="187" t="s">
        <v>228</v>
      </c>
      <c r="C27" s="201" t="s">
        <v>229</v>
      </c>
      <c r="D27" s="117" t="s">
        <v>46</v>
      </c>
      <c r="E27" s="166" t="s">
        <v>232</v>
      </c>
      <c r="F27" s="182" t="s">
        <v>147</v>
      </c>
      <c r="G27" s="166">
        <v>2026.0</v>
      </c>
      <c r="H27" s="166" t="s">
        <v>233</v>
      </c>
      <c r="I27" s="187" t="s">
        <v>234</v>
      </c>
      <c r="J27" s="199"/>
    </row>
    <row r="28">
      <c r="A28" s="79">
        <v>6.0</v>
      </c>
      <c r="B28" s="146" t="s">
        <v>235</v>
      </c>
      <c r="C28" s="146" t="s">
        <v>236</v>
      </c>
      <c r="D28" s="117" t="s">
        <v>46</v>
      </c>
      <c r="E28" s="166" t="s">
        <v>237</v>
      </c>
      <c r="F28" s="182" t="s">
        <v>147</v>
      </c>
      <c r="G28" s="166">
        <v>2026.0</v>
      </c>
      <c r="H28" s="123" t="s">
        <v>238</v>
      </c>
      <c r="I28" s="197" t="s">
        <v>239</v>
      </c>
      <c r="J28" s="199"/>
    </row>
    <row r="29">
      <c r="A29" s="79">
        <v>7.0</v>
      </c>
      <c r="B29" s="146" t="s">
        <v>240</v>
      </c>
      <c r="C29" s="187" t="s">
        <v>191</v>
      </c>
      <c r="D29" s="117" t="s">
        <v>46</v>
      </c>
      <c r="E29" s="187" t="s">
        <v>195</v>
      </c>
      <c r="F29" s="182" t="s">
        <v>147</v>
      </c>
      <c r="G29" s="166">
        <v>2026.0</v>
      </c>
      <c r="H29" s="123" t="s">
        <v>243</v>
      </c>
      <c r="I29" s="187" t="s">
        <v>244</v>
      </c>
      <c r="J29" s="199"/>
    </row>
    <row r="30">
      <c r="A30" s="79">
        <v>8.0</v>
      </c>
      <c r="B30" s="146" t="s">
        <v>245</v>
      </c>
      <c r="C30" s="187" t="s">
        <v>191</v>
      </c>
      <c r="D30" s="117" t="s">
        <v>46</v>
      </c>
      <c r="E30" s="187" t="s">
        <v>195</v>
      </c>
      <c r="F30" s="182" t="s">
        <v>147</v>
      </c>
      <c r="G30" s="166">
        <v>2026.0</v>
      </c>
      <c r="H30" s="205" t="s">
        <v>246</v>
      </c>
      <c r="I30" s="187" t="s">
        <v>248</v>
      </c>
      <c r="J30" s="199"/>
    </row>
    <row r="31">
      <c r="A31" s="79">
        <v>9.0</v>
      </c>
      <c r="B31" s="187"/>
      <c r="C31" s="187"/>
      <c r="D31" s="91"/>
      <c r="E31" s="166"/>
      <c r="F31" s="182"/>
      <c r="G31" s="91"/>
      <c r="H31" s="91"/>
      <c r="I31" s="187"/>
      <c r="J31" s="199"/>
    </row>
    <row r="32">
      <c r="A32" s="79">
        <v>10.0</v>
      </c>
      <c r="B32" s="208"/>
      <c r="C32" s="123"/>
      <c r="D32" s="91"/>
      <c r="E32" s="187"/>
      <c r="F32" s="182"/>
      <c r="G32" s="91"/>
      <c r="H32" s="91"/>
      <c r="I32" s="187"/>
      <c r="J32" s="199"/>
    </row>
    <row r="33">
      <c r="A33" s="79">
        <v>11.0</v>
      </c>
      <c r="B33" s="208"/>
      <c r="C33" s="123"/>
      <c r="D33" s="91"/>
      <c r="E33" s="187"/>
      <c r="F33" s="182"/>
      <c r="G33" s="91"/>
      <c r="H33" s="91"/>
      <c r="I33" s="166"/>
      <c r="J33" s="199"/>
    </row>
    <row r="34">
      <c r="A34" s="210">
        <v>12.0</v>
      </c>
      <c r="B34" s="186"/>
      <c r="C34" s="166"/>
      <c r="D34" s="166"/>
      <c r="E34" s="187"/>
      <c r="F34" s="182"/>
      <c r="G34" s="166"/>
      <c r="H34" s="166"/>
      <c r="I34" s="199"/>
      <c r="J34" s="199"/>
    </row>
    <row r="35">
      <c r="A35" s="211" t="s">
        <v>251</v>
      </c>
      <c r="B35" s="39"/>
      <c r="C35" s="39"/>
      <c r="D35" s="39"/>
      <c r="E35" s="39"/>
      <c r="F35" s="39"/>
      <c r="G35" s="39"/>
      <c r="H35" s="39"/>
      <c r="I35" s="37"/>
      <c r="J35" s="48"/>
    </row>
    <row r="36">
      <c r="A36" s="43" t="s">
        <v>15</v>
      </c>
      <c r="B36" s="43" t="s">
        <v>16</v>
      </c>
      <c r="C36" s="43" t="s">
        <v>17</v>
      </c>
      <c r="D36" s="43" t="s">
        <v>18</v>
      </c>
      <c r="E36" s="43" t="s">
        <v>19</v>
      </c>
      <c r="F36" s="43" t="s">
        <v>20</v>
      </c>
      <c r="G36" s="44" t="s">
        <v>21</v>
      </c>
      <c r="H36" s="44" t="s">
        <v>24</v>
      </c>
      <c r="I36" s="44" t="s">
        <v>25</v>
      </c>
      <c r="J36" s="48"/>
    </row>
    <row r="37">
      <c r="A37" s="50">
        <v>1.0</v>
      </c>
      <c r="B37" s="87"/>
      <c r="C37" s="212"/>
      <c r="D37" s="212"/>
      <c r="E37" s="212"/>
      <c r="F37" s="212"/>
      <c r="G37" s="212"/>
      <c r="H37" s="212"/>
      <c r="I37" s="87"/>
      <c r="J37" s="48"/>
    </row>
    <row r="38">
      <c r="A38" s="50">
        <v>2.0</v>
      </c>
      <c r="B38" s="87"/>
      <c r="C38" s="212"/>
      <c r="D38" s="212"/>
      <c r="E38" s="212"/>
      <c r="F38" s="212"/>
      <c r="G38" s="212"/>
      <c r="H38" s="212"/>
      <c r="I38" s="87"/>
      <c r="J38" s="48"/>
    </row>
    <row r="39">
      <c r="A39" s="50">
        <v>3.0</v>
      </c>
      <c r="B39" s="87"/>
      <c r="C39" s="212"/>
      <c r="D39" s="212"/>
      <c r="E39" s="212"/>
      <c r="F39" s="212"/>
      <c r="G39" s="212"/>
      <c r="H39" s="212"/>
      <c r="I39" s="87"/>
      <c r="J39" s="48"/>
    </row>
    <row r="40">
      <c r="A40" s="50">
        <v>4.0</v>
      </c>
      <c r="B40" s="87"/>
      <c r="C40" s="212"/>
      <c r="D40" s="212"/>
      <c r="E40" s="212"/>
      <c r="F40" s="212"/>
      <c r="G40" s="212"/>
      <c r="H40" s="212"/>
      <c r="I40" s="87"/>
      <c r="J40" s="48"/>
    </row>
    <row r="41">
      <c r="A41" s="50">
        <v>5.0</v>
      </c>
      <c r="B41" s="87"/>
      <c r="C41" s="212"/>
      <c r="D41" s="212"/>
      <c r="E41" s="212"/>
      <c r="F41" s="212"/>
      <c r="G41" s="212"/>
      <c r="H41" s="212"/>
      <c r="I41" s="87"/>
      <c r="J41" s="48"/>
    </row>
    <row r="42">
      <c r="A42" s="50">
        <v>6.0</v>
      </c>
      <c r="B42" s="87"/>
      <c r="C42" s="212"/>
      <c r="D42" s="212"/>
      <c r="E42" s="212"/>
      <c r="F42" s="212"/>
      <c r="G42" s="212"/>
      <c r="H42" s="212"/>
      <c r="I42" s="87"/>
      <c r="J42" s="48"/>
    </row>
    <row r="43">
      <c r="A43" s="50">
        <v>7.0</v>
      </c>
      <c r="B43" s="87"/>
      <c r="C43" s="212"/>
      <c r="D43" s="212"/>
      <c r="E43" s="212"/>
      <c r="F43" s="212"/>
      <c r="G43" s="212"/>
      <c r="H43" s="212"/>
      <c r="I43" s="87"/>
      <c r="J43" s="48"/>
    </row>
    <row r="44">
      <c r="A44" s="50">
        <v>8.0</v>
      </c>
      <c r="B44" s="87"/>
      <c r="C44" s="212"/>
      <c r="D44" s="212"/>
      <c r="E44" s="212"/>
      <c r="F44" s="212"/>
      <c r="G44" s="212"/>
      <c r="H44" s="212"/>
      <c r="I44" s="87"/>
      <c r="J44" s="48"/>
    </row>
    <row r="45">
      <c r="A45" s="50">
        <v>9.0</v>
      </c>
      <c r="B45" s="87"/>
      <c r="C45" s="212"/>
      <c r="D45" s="212"/>
      <c r="E45" s="212"/>
      <c r="F45" s="212"/>
      <c r="G45" s="212"/>
      <c r="H45" s="212"/>
      <c r="I45" s="87"/>
      <c r="J45" s="48"/>
    </row>
    <row r="46">
      <c r="A46" s="50">
        <v>10.0</v>
      </c>
      <c r="B46" s="87"/>
      <c r="C46" s="212"/>
      <c r="D46" s="212"/>
      <c r="E46" s="212"/>
      <c r="F46" s="212"/>
      <c r="G46" s="212"/>
      <c r="H46" s="212"/>
      <c r="I46" s="87"/>
      <c r="J46" s="48"/>
    </row>
    <row r="47">
      <c r="A47" s="50">
        <v>11.0</v>
      </c>
      <c r="B47" s="87"/>
      <c r="C47" s="212"/>
      <c r="D47" s="212"/>
      <c r="E47" s="212"/>
      <c r="F47" s="212"/>
      <c r="G47" s="212"/>
      <c r="H47" s="212"/>
      <c r="I47" s="87"/>
      <c r="J47" s="48"/>
    </row>
    <row r="48">
      <c r="A48" s="50">
        <v>12.0</v>
      </c>
      <c r="B48" s="87"/>
      <c r="C48" s="212"/>
      <c r="D48" s="212"/>
      <c r="E48" s="212"/>
      <c r="F48" s="212"/>
      <c r="G48" s="212"/>
      <c r="H48" s="212"/>
      <c r="I48" s="87"/>
      <c r="J48" s="48"/>
    </row>
    <row r="49">
      <c r="A49" s="135">
        <v>13.0</v>
      </c>
      <c r="B49" s="87"/>
      <c r="C49" s="212"/>
      <c r="D49" s="212"/>
      <c r="E49" s="212"/>
      <c r="F49" s="212"/>
      <c r="G49" s="212"/>
      <c r="H49" s="212"/>
      <c r="I49" s="87"/>
      <c r="J49" s="48"/>
    </row>
    <row r="50">
      <c r="A50" s="220"/>
      <c r="B50" s="39"/>
      <c r="C50" s="39"/>
      <c r="D50" s="39"/>
      <c r="E50" s="39"/>
      <c r="F50" s="39"/>
      <c r="G50" s="39"/>
      <c r="H50" s="39"/>
      <c r="I50" s="39"/>
      <c r="J50" s="37"/>
    </row>
  </sheetData>
  <mergeCells count="5">
    <mergeCell ref="A1:J1"/>
    <mergeCell ref="A2:I2"/>
    <mergeCell ref="A21:I21"/>
    <mergeCell ref="A35:I35"/>
    <mergeCell ref="A50:J50"/>
  </mergeCells>
  <dataValidations>
    <dataValidation type="list" allowBlank="1" showErrorMessage="1" sqref="F4:F18 F23:F30">
      <formula1>"Acompanhamento na revista,Registro concedido,Aguardando Deposito"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6"/>
    <hyperlink r:id="rId12" ref="E17"/>
    <hyperlink r:id="rId13" ref="E18"/>
    <hyperlink r:id="rId14" ref="E23"/>
    <hyperlink r:id="rId15" ref="E24"/>
    <hyperlink r:id="rId16" ref="H25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75.57"/>
    <col customWidth="1" min="3" max="3" width="41.86"/>
    <col customWidth="1" min="4" max="4" width="19.0"/>
    <col customWidth="1" min="5" max="5" width="16.43"/>
    <col customWidth="1" min="6" max="6" width="27.86"/>
    <col customWidth="1" min="7" max="7" width="11.0"/>
    <col customWidth="1" min="8" max="8" width="23.43"/>
    <col customWidth="1" min="9" max="9" width="25.71"/>
    <col customWidth="1" min="10" max="10" width="12.86"/>
  </cols>
  <sheetData>
    <row r="1" ht="79.5" customHeight="1">
      <c r="A1" s="38" t="s">
        <v>14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46" t="s">
        <v>13</v>
      </c>
      <c r="B2" s="39"/>
      <c r="C2" s="39"/>
      <c r="D2" s="39"/>
      <c r="E2" s="39"/>
      <c r="F2" s="39"/>
      <c r="G2" s="39"/>
      <c r="H2" s="39"/>
      <c r="I2" s="37"/>
      <c r="J2" s="51"/>
    </row>
    <row r="3">
      <c r="A3" s="53" t="s">
        <v>15</v>
      </c>
      <c r="B3" s="53" t="s">
        <v>16</v>
      </c>
      <c r="C3" s="53" t="s">
        <v>17</v>
      </c>
      <c r="D3" s="53" t="s">
        <v>18</v>
      </c>
      <c r="E3" s="53" t="s">
        <v>19</v>
      </c>
      <c r="F3" s="53" t="s">
        <v>20</v>
      </c>
      <c r="G3" s="55" t="s">
        <v>21</v>
      </c>
      <c r="H3" s="57" t="s">
        <v>24</v>
      </c>
      <c r="I3" s="57" t="s">
        <v>25</v>
      </c>
      <c r="J3" s="58"/>
    </row>
    <row r="4">
      <c r="A4" s="50">
        <v>1.0</v>
      </c>
      <c r="B4" s="60" t="s">
        <v>27</v>
      </c>
      <c r="C4" s="62" t="s">
        <v>29</v>
      </c>
      <c r="D4" s="63" t="s">
        <v>31</v>
      </c>
      <c r="E4" s="67" t="s">
        <v>32</v>
      </c>
      <c r="F4" s="70" t="s">
        <v>35</v>
      </c>
      <c r="G4" s="71">
        <v>2025.0</v>
      </c>
      <c r="H4" s="75" t="s">
        <v>36</v>
      </c>
      <c r="I4" s="77" t="s">
        <v>38</v>
      </c>
      <c r="J4" s="51"/>
    </row>
    <row r="5">
      <c r="A5" s="50">
        <v>2.0</v>
      </c>
      <c r="B5" s="60" t="s">
        <v>40</v>
      </c>
      <c r="C5" s="62" t="s">
        <v>41</v>
      </c>
      <c r="D5" s="63" t="s">
        <v>43</v>
      </c>
      <c r="E5" s="86" t="s">
        <v>44</v>
      </c>
      <c r="F5" s="70" t="s">
        <v>35</v>
      </c>
      <c r="G5" s="71">
        <v>2025.0</v>
      </c>
      <c r="H5" s="75" t="s">
        <v>51</v>
      </c>
      <c r="I5" s="77" t="s">
        <v>52</v>
      </c>
      <c r="J5" s="51"/>
    </row>
    <row r="6">
      <c r="A6" s="50">
        <v>3.0</v>
      </c>
      <c r="B6" s="61" t="s">
        <v>53</v>
      </c>
      <c r="C6" s="62" t="s">
        <v>55</v>
      </c>
      <c r="D6" s="72" t="s">
        <v>56</v>
      </c>
      <c r="E6" s="90" t="s">
        <v>58</v>
      </c>
      <c r="F6" s="70" t="s">
        <v>35</v>
      </c>
      <c r="G6" s="71">
        <v>2025.0</v>
      </c>
      <c r="H6" s="66" t="s">
        <v>59</v>
      </c>
      <c r="I6" s="91" t="s">
        <v>60</v>
      </c>
      <c r="J6" s="51"/>
    </row>
    <row r="7">
      <c r="A7" s="93">
        <v>4.0</v>
      </c>
      <c r="B7" s="95" t="s">
        <v>62</v>
      </c>
      <c r="C7" s="100" t="s">
        <v>68</v>
      </c>
      <c r="D7" s="72" t="s">
        <v>43</v>
      </c>
      <c r="E7" s="93" t="s">
        <v>68</v>
      </c>
      <c r="F7" s="107" t="s">
        <v>35</v>
      </c>
      <c r="G7" s="71">
        <v>2025.0</v>
      </c>
      <c r="H7" s="108" t="s">
        <v>74</v>
      </c>
      <c r="I7" s="109" t="s">
        <v>76</v>
      </c>
      <c r="J7" s="110"/>
    </row>
    <row r="8">
      <c r="A8" s="50">
        <v>5.0</v>
      </c>
      <c r="B8" s="61" t="s">
        <v>83</v>
      </c>
      <c r="C8" s="66" t="s">
        <v>84</v>
      </c>
      <c r="D8" s="63" t="s">
        <v>31</v>
      </c>
      <c r="E8" s="86" t="s">
        <v>86</v>
      </c>
      <c r="F8" s="70" t="s">
        <v>35</v>
      </c>
      <c r="G8" s="71">
        <v>2025.0</v>
      </c>
      <c r="H8" s="66" t="s">
        <v>87</v>
      </c>
      <c r="I8" s="77" t="s">
        <v>88</v>
      </c>
      <c r="J8" s="51"/>
    </row>
    <row r="9">
      <c r="A9" s="50">
        <v>6.0</v>
      </c>
      <c r="B9" s="115"/>
      <c r="C9" s="115"/>
      <c r="D9" s="115"/>
      <c r="E9" s="118"/>
      <c r="F9" s="121"/>
      <c r="G9" s="71"/>
      <c r="H9" s="124"/>
      <c r="I9" s="118"/>
      <c r="J9" s="51"/>
    </row>
    <row r="10">
      <c r="A10" s="50">
        <v>7.0</v>
      </c>
      <c r="B10" s="60"/>
      <c r="C10" s="126"/>
      <c r="D10" s="89"/>
      <c r="E10" s="89"/>
      <c r="F10" s="70"/>
      <c r="G10" s="89"/>
      <c r="H10" s="128"/>
      <c r="I10" s="129"/>
      <c r="J10" s="51"/>
    </row>
    <row r="11">
      <c r="A11" s="50">
        <v>8.0</v>
      </c>
      <c r="B11" s="60"/>
      <c r="C11" s="126"/>
      <c r="D11" s="89"/>
      <c r="E11" s="89"/>
      <c r="F11" s="70"/>
      <c r="G11" s="89"/>
      <c r="H11" s="128"/>
      <c r="I11" s="129"/>
      <c r="J11" s="51"/>
    </row>
    <row r="12">
      <c r="A12" s="50">
        <v>9.0</v>
      </c>
      <c r="B12" s="60"/>
      <c r="C12" s="126"/>
      <c r="D12" s="89"/>
      <c r="E12" s="129"/>
      <c r="F12" s="70"/>
      <c r="G12" s="89"/>
      <c r="H12" s="128"/>
      <c r="I12" s="131"/>
      <c r="J12" s="51"/>
    </row>
    <row r="13">
      <c r="A13" s="50">
        <v>10.0</v>
      </c>
      <c r="B13" s="60"/>
      <c r="C13" s="126"/>
      <c r="D13" s="89"/>
      <c r="E13" s="129"/>
      <c r="F13" s="70"/>
      <c r="G13" s="129"/>
      <c r="H13" s="128"/>
      <c r="I13" s="131"/>
      <c r="J13" s="51"/>
    </row>
    <row r="14">
      <c r="A14" s="50">
        <v>11.0</v>
      </c>
      <c r="B14" s="60"/>
      <c r="C14" s="126"/>
      <c r="D14" s="129"/>
      <c r="E14" s="129"/>
      <c r="F14" s="70"/>
      <c r="G14" s="129"/>
      <c r="H14" s="128"/>
      <c r="I14" s="131"/>
      <c r="J14" s="51"/>
    </row>
    <row r="15">
      <c r="A15" s="50">
        <v>12.0</v>
      </c>
      <c r="B15" s="60"/>
      <c r="C15" s="126"/>
      <c r="D15" s="129"/>
      <c r="E15" s="129"/>
      <c r="F15" s="70"/>
      <c r="G15" s="129"/>
      <c r="H15" s="128"/>
      <c r="I15" s="131"/>
      <c r="J15" s="51"/>
    </row>
    <row r="16">
      <c r="A16" s="137">
        <v>13.0</v>
      </c>
      <c r="B16" s="60"/>
      <c r="C16" s="126"/>
      <c r="D16" s="129"/>
      <c r="E16" s="129"/>
      <c r="F16" s="70"/>
      <c r="G16" s="129"/>
      <c r="H16" s="128"/>
      <c r="I16" s="131"/>
      <c r="J16" s="51"/>
    </row>
    <row r="17">
      <c r="A17" s="46" t="s">
        <v>123</v>
      </c>
      <c r="B17" s="39"/>
      <c r="C17" s="39"/>
      <c r="D17" s="39"/>
      <c r="E17" s="39"/>
      <c r="F17" s="39"/>
      <c r="G17" s="39"/>
      <c r="H17" s="39"/>
      <c r="I17" s="37"/>
      <c r="J17" s="51"/>
    </row>
    <row r="18">
      <c r="A18" s="53" t="s">
        <v>15</v>
      </c>
      <c r="B18" s="53" t="s">
        <v>16</v>
      </c>
      <c r="C18" s="53" t="s">
        <v>17</v>
      </c>
      <c r="D18" s="53" t="s">
        <v>18</v>
      </c>
      <c r="E18" s="53" t="s">
        <v>19</v>
      </c>
      <c r="F18" s="53" t="s">
        <v>20</v>
      </c>
      <c r="G18" s="55" t="s">
        <v>21</v>
      </c>
      <c r="H18" s="57" t="s">
        <v>24</v>
      </c>
      <c r="I18" s="57" t="s">
        <v>25</v>
      </c>
      <c r="J18" s="58"/>
    </row>
    <row r="19">
      <c r="A19" s="79">
        <v>1.0</v>
      </c>
      <c r="B19" s="146" t="s">
        <v>132</v>
      </c>
      <c r="C19" s="151" t="s">
        <v>136</v>
      </c>
      <c r="D19" s="158" t="s">
        <v>46</v>
      </c>
      <c r="E19" s="163" t="s">
        <v>143</v>
      </c>
      <c r="F19" s="164" t="s">
        <v>147</v>
      </c>
      <c r="G19" s="166">
        <v>2025.0</v>
      </c>
      <c r="H19" s="168" t="s">
        <v>153</v>
      </c>
      <c r="I19" s="173" t="s">
        <v>155</v>
      </c>
      <c r="J19" s="174"/>
    </row>
    <row r="20">
      <c r="A20" s="79">
        <v>2.0</v>
      </c>
      <c r="B20" s="146" t="s">
        <v>161</v>
      </c>
      <c r="C20" s="151" t="s">
        <v>162</v>
      </c>
      <c r="D20" s="158" t="s">
        <v>46</v>
      </c>
      <c r="E20" s="163" t="s">
        <v>164</v>
      </c>
      <c r="F20" s="164" t="s">
        <v>147</v>
      </c>
      <c r="G20" s="166">
        <v>2025.0</v>
      </c>
      <c r="H20" s="168" t="s">
        <v>172</v>
      </c>
      <c r="I20" s="173" t="s">
        <v>175</v>
      </c>
      <c r="J20" s="174"/>
    </row>
    <row r="21">
      <c r="A21" s="79">
        <v>3.0</v>
      </c>
      <c r="B21" s="146" t="s">
        <v>194</v>
      </c>
      <c r="C21" s="123" t="s">
        <v>199</v>
      </c>
      <c r="D21" s="158" t="s">
        <v>46</v>
      </c>
      <c r="E21" s="163" t="s">
        <v>200</v>
      </c>
      <c r="F21" s="164" t="s">
        <v>147</v>
      </c>
      <c r="G21" s="166">
        <v>2025.0</v>
      </c>
      <c r="H21" s="168" t="s">
        <v>206</v>
      </c>
      <c r="I21" s="191" t="s">
        <v>208</v>
      </c>
      <c r="J21" s="174"/>
    </row>
    <row r="22">
      <c r="A22" s="79">
        <v>4.0</v>
      </c>
      <c r="B22" s="146" t="s">
        <v>210</v>
      </c>
      <c r="C22" s="123" t="s">
        <v>199</v>
      </c>
      <c r="D22" s="158" t="s">
        <v>46</v>
      </c>
      <c r="E22" s="163" t="s">
        <v>211</v>
      </c>
      <c r="F22" s="164" t="s">
        <v>147</v>
      </c>
      <c r="G22" s="166">
        <v>2025.0</v>
      </c>
      <c r="H22" s="168" t="s">
        <v>212</v>
      </c>
      <c r="I22" s="191" t="s">
        <v>213</v>
      </c>
      <c r="J22" s="174"/>
    </row>
    <row r="23">
      <c r="A23" s="79">
        <v>5.0</v>
      </c>
      <c r="B23" s="146" t="s">
        <v>214</v>
      </c>
      <c r="C23" s="151" t="s">
        <v>215</v>
      </c>
      <c r="D23" s="158" t="s">
        <v>46</v>
      </c>
      <c r="E23" s="193" t="s">
        <v>195</v>
      </c>
      <c r="F23" s="164" t="s">
        <v>147</v>
      </c>
      <c r="G23" s="166">
        <v>2025.0</v>
      </c>
      <c r="H23" s="168" t="s">
        <v>216</v>
      </c>
      <c r="I23" s="173" t="s">
        <v>217</v>
      </c>
      <c r="J23" s="174"/>
    </row>
    <row r="24">
      <c r="A24" s="79">
        <v>6.0</v>
      </c>
      <c r="B24" s="146" t="s">
        <v>226</v>
      </c>
      <c r="C24" s="123" t="s">
        <v>227</v>
      </c>
      <c r="D24" s="158" t="s">
        <v>46</v>
      </c>
      <c r="E24" s="163" t="s">
        <v>230</v>
      </c>
      <c r="F24" s="164" t="s">
        <v>147</v>
      </c>
      <c r="G24" s="166">
        <v>2025.0</v>
      </c>
      <c r="H24" s="168" t="s">
        <v>241</v>
      </c>
      <c r="I24" s="173" t="s">
        <v>242</v>
      </c>
      <c r="J24" s="174"/>
    </row>
    <row r="25">
      <c r="A25" s="79">
        <v>7.0</v>
      </c>
      <c r="B25" s="146" t="s">
        <v>253</v>
      </c>
      <c r="C25" s="123" t="s">
        <v>254</v>
      </c>
      <c r="D25" s="166" t="s">
        <v>255</v>
      </c>
      <c r="E25" s="193" t="s">
        <v>232</v>
      </c>
      <c r="F25" s="164" t="s">
        <v>147</v>
      </c>
      <c r="G25" s="166">
        <v>2025.0</v>
      </c>
      <c r="H25" s="168" t="s">
        <v>256</v>
      </c>
      <c r="I25" s="173" t="s">
        <v>257</v>
      </c>
      <c r="J25" s="174"/>
    </row>
    <row r="26">
      <c r="A26" s="79">
        <v>8.0</v>
      </c>
      <c r="B26" s="146" t="s">
        <v>258</v>
      </c>
      <c r="C26" s="123" t="s">
        <v>259</v>
      </c>
      <c r="D26" s="158" t="s">
        <v>46</v>
      </c>
      <c r="E26" s="193" t="s">
        <v>232</v>
      </c>
      <c r="F26" s="164" t="s">
        <v>147</v>
      </c>
      <c r="G26" s="166">
        <v>2025.0</v>
      </c>
      <c r="H26" s="168" t="s">
        <v>260</v>
      </c>
      <c r="I26" s="191" t="s">
        <v>261</v>
      </c>
      <c r="J26" s="174"/>
    </row>
    <row r="27">
      <c r="A27" s="79">
        <v>9.0</v>
      </c>
      <c r="B27" s="146" t="s">
        <v>262</v>
      </c>
      <c r="C27" s="123" t="s">
        <v>263</v>
      </c>
      <c r="D27" s="158" t="s">
        <v>169</v>
      </c>
      <c r="E27" s="193" t="s">
        <v>264</v>
      </c>
      <c r="F27" s="164" t="s">
        <v>147</v>
      </c>
      <c r="G27" s="166">
        <v>2025.0</v>
      </c>
      <c r="H27" s="168" t="s">
        <v>265</v>
      </c>
      <c r="I27" s="191" t="s">
        <v>266</v>
      </c>
      <c r="J27" s="174"/>
    </row>
    <row r="28">
      <c r="A28" s="79">
        <v>10.0</v>
      </c>
      <c r="B28" s="146" t="s">
        <v>267</v>
      </c>
      <c r="C28" s="123" t="s">
        <v>268</v>
      </c>
      <c r="D28" s="136" t="s">
        <v>46</v>
      </c>
      <c r="E28" s="193" t="s">
        <v>195</v>
      </c>
      <c r="F28" s="164" t="s">
        <v>147</v>
      </c>
      <c r="G28" s="166">
        <v>2025.0</v>
      </c>
      <c r="H28" s="168" t="s">
        <v>269</v>
      </c>
      <c r="I28" s="191" t="s">
        <v>270</v>
      </c>
      <c r="J28" s="174"/>
    </row>
    <row r="29">
      <c r="A29" s="79">
        <v>11.0</v>
      </c>
      <c r="B29" s="146" t="s">
        <v>271</v>
      </c>
      <c r="C29" s="123" t="s">
        <v>272</v>
      </c>
      <c r="D29" s="123" t="s">
        <v>31</v>
      </c>
      <c r="E29" s="193" t="s">
        <v>273</v>
      </c>
      <c r="F29" s="164" t="s">
        <v>147</v>
      </c>
      <c r="G29" s="166">
        <v>2025.0</v>
      </c>
      <c r="H29" s="168" t="s">
        <v>275</v>
      </c>
      <c r="I29" s="191" t="s">
        <v>276</v>
      </c>
      <c r="J29" s="174"/>
    </row>
    <row r="30">
      <c r="A30" s="79">
        <v>12.0</v>
      </c>
      <c r="B30" s="187" t="s">
        <v>278</v>
      </c>
      <c r="C30" s="123" t="s">
        <v>279</v>
      </c>
      <c r="D30" s="123" t="s">
        <v>31</v>
      </c>
      <c r="E30" s="193" t="s">
        <v>280</v>
      </c>
      <c r="F30" s="164" t="s">
        <v>147</v>
      </c>
      <c r="G30" s="166">
        <v>2025.0</v>
      </c>
      <c r="H30" s="123" t="s">
        <v>282</v>
      </c>
      <c r="I30" s="113" t="s">
        <v>283</v>
      </c>
      <c r="J30" s="174"/>
    </row>
    <row r="31">
      <c r="A31" s="153">
        <v>13.0</v>
      </c>
      <c r="B31" s="215"/>
      <c r="C31" s="216"/>
      <c r="D31" s="215"/>
      <c r="E31" s="215"/>
      <c r="F31" s="218"/>
      <c r="G31" s="221"/>
      <c r="H31" s="221"/>
      <c r="I31" s="218"/>
      <c r="J31" s="224"/>
    </row>
    <row r="32">
      <c r="A32" s="46" t="s">
        <v>251</v>
      </c>
      <c r="B32" s="39"/>
      <c r="C32" s="39"/>
      <c r="D32" s="39"/>
      <c r="E32" s="39"/>
      <c r="F32" s="39"/>
      <c r="G32" s="39"/>
      <c r="H32" s="39"/>
      <c r="I32" s="37"/>
      <c r="J32" s="51"/>
    </row>
    <row r="33">
      <c r="A33" s="53" t="s">
        <v>15</v>
      </c>
      <c r="B33" s="53" t="s">
        <v>16</v>
      </c>
      <c r="C33" s="53" t="s">
        <v>17</v>
      </c>
      <c r="D33" s="53" t="s">
        <v>18</v>
      </c>
      <c r="E33" s="53" t="s">
        <v>19</v>
      </c>
      <c r="F33" s="53" t="s">
        <v>20</v>
      </c>
      <c r="G33" s="55" t="s">
        <v>21</v>
      </c>
      <c r="H33" s="57" t="s">
        <v>24</v>
      </c>
      <c r="I33" s="57" t="s">
        <v>25</v>
      </c>
      <c r="J33" s="58"/>
    </row>
    <row r="34">
      <c r="A34" s="50">
        <v>1.0</v>
      </c>
      <c r="B34" s="131"/>
      <c r="C34" s="131"/>
      <c r="D34" s="131"/>
      <c r="E34" s="131"/>
      <c r="F34" s="131"/>
      <c r="G34" s="131"/>
      <c r="H34" s="131"/>
      <c r="I34" s="131"/>
      <c r="J34" s="51"/>
    </row>
    <row r="35">
      <c r="A35" s="50">
        <v>2.0</v>
      </c>
      <c r="B35" s="131"/>
      <c r="C35" s="131"/>
      <c r="D35" s="131"/>
      <c r="E35" s="131"/>
      <c r="F35" s="131"/>
      <c r="G35" s="131"/>
      <c r="H35" s="131"/>
      <c r="I35" s="131"/>
      <c r="J35" s="51"/>
    </row>
    <row r="36">
      <c r="A36" s="50">
        <v>3.0</v>
      </c>
      <c r="B36" s="131"/>
      <c r="C36" s="131"/>
      <c r="D36" s="131"/>
      <c r="E36" s="131"/>
      <c r="F36" s="131"/>
      <c r="G36" s="131"/>
      <c r="H36" s="131"/>
      <c r="I36" s="131"/>
      <c r="J36" s="51"/>
    </row>
    <row r="37">
      <c r="A37" s="50">
        <v>4.0</v>
      </c>
      <c r="B37" s="131"/>
      <c r="C37" s="131"/>
      <c r="D37" s="131"/>
      <c r="E37" s="131"/>
      <c r="F37" s="131"/>
      <c r="G37" s="131"/>
      <c r="H37" s="131"/>
      <c r="I37" s="131"/>
      <c r="J37" s="51"/>
    </row>
    <row r="38">
      <c r="A38" s="50">
        <v>5.0</v>
      </c>
      <c r="B38" s="131"/>
      <c r="C38" s="131"/>
      <c r="D38" s="131"/>
      <c r="E38" s="131"/>
      <c r="F38" s="131"/>
      <c r="G38" s="131"/>
      <c r="H38" s="131"/>
      <c r="I38" s="131"/>
      <c r="J38" s="51"/>
    </row>
    <row r="39">
      <c r="A39" s="50">
        <v>6.0</v>
      </c>
      <c r="B39" s="131"/>
      <c r="C39" s="131"/>
      <c r="D39" s="131"/>
      <c r="E39" s="131"/>
      <c r="F39" s="131"/>
      <c r="G39" s="131"/>
      <c r="H39" s="131"/>
      <c r="I39" s="131"/>
      <c r="J39" s="51"/>
    </row>
    <row r="40">
      <c r="A40" s="50">
        <v>7.0</v>
      </c>
      <c r="B40" s="131"/>
      <c r="C40" s="131"/>
      <c r="D40" s="131"/>
      <c r="E40" s="131"/>
      <c r="F40" s="131"/>
      <c r="G40" s="131"/>
      <c r="H40" s="131"/>
      <c r="I40" s="131"/>
      <c r="J40" s="51"/>
    </row>
    <row r="41">
      <c r="A41" s="50">
        <v>8.0</v>
      </c>
      <c r="B41" s="131"/>
      <c r="C41" s="131"/>
      <c r="D41" s="131"/>
      <c r="E41" s="131"/>
      <c r="F41" s="131"/>
      <c r="G41" s="131"/>
      <c r="H41" s="131"/>
      <c r="I41" s="131"/>
      <c r="J41" s="51"/>
    </row>
    <row r="42">
      <c r="A42" s="50">
        <v>9.0</v>
      </c>
      <c r="B42" s="131"/>
      <c r="C42" s="131"/>
      <c r="D42" s="131"/>
      <c r="E42" s="131"/>
      <c r="F42" s="131"/>
      <c r="G42" s="131"/>
      <c r="H42" s="131"/>
      <c r="I42" s="131"/>
      <c r="J42" s="51"/>
    </row>
    <row r="43">
      <c r="A43" s="50">
        <v>10.0</v>
      </c>
      <c r="B43" s="131"/>
      <c r="C43" s="131"/>
      <c r="D43" s="131"/>
      <c r="E43" s="131"/>
      <c r="F43" s="131"/>
      <c r="G43" s="131"/>
      <c r="H43" s="131"/>
      <c r="I43" s="131"/>
      <c r="J43" s="51"/>
    </row>
    <row r="44">
      <c r="A44" s="50">
        <v>11.0</v>
      </c>
      <c r="B44" s="131"/>
      <c r="C44" s="131"/>
      <c r="D44" s="131"/>
      <c r="E44" s="131"/>
      <c r="F44" s="131"/>
      <c r="G44" s="131"/>
      <c r="H44" s="131"/>
      <c r="I44" s="131"/>
      <c r="J44" s="51"/>
    </row>
    <row r="45">
      <c r="A45" s="50">
        <v>12.0</v>
      </c>
      <c r="B45" s="131"/>
      <c r="C45" s="131"/>
      <c r="D45" s="131"/>
      <c r="E45" s="131"/>
      <c r="F45" s="131"/>
      <c r="G45" s="131"/>
      <c r="H45" s="131"/>
      <c r="I45" s="131"/>
      <c r="J45" s="51"/>
    </row>
    <row r="46">
      <c r="A46" s="137">
        <v>13.0</v>
      </c>
      <c r="B46" s="131"/>
      <c r="C46" s="131"/>
      <c r="D46" s="131"/>
      <c r="E46" s="131"/>
      <c r="F46" s="131"/>
      <c r="G46" s="131"/>
      <c r="H46" s="131"/>
      <c r="I46" s="131"/>
      <c r="J46" s="51"/>
    </row>
    <row r="47">
      <c r="A47" s="226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4:F16 F19:F30">
      <formula1>"Acompanhamento na revista,Registro concedido,Aguardando Deposito"</formula1>
    </dataValidation>
  </dataValidations>
  <hyperlinks>
    <hyperlink r:id="rId1" ref="E4"/>
    <hyperlink r:id="rId2" ref="E5"/>
    <hyperlink r:id="rId3" ref="E6"/>
    <hyperlink r:id="rId4" ref="E8"/>
    <hyperlink r:id="rId5" ref="E19"/>
    <hyperlink r:id="rId6" ref="I19"/>
    <hyperlink r:id="rId7" ref="E20"/>
    <hyperlink r:id="rId8" ref="I20"/>
    <hyperlink r:id="rId9" ref="E21"/>
    <hyperlink r:id="rId10" ref="E22"/>
    <hyperlink r:id="rId11" ref="I23"/>
    <hyperlink r:id="rId12" ref="E24"/>
    <hyperlink r:id="rId13" ref="I24"/>
    <hyperlink r:id="rId14" ref="I25"/>
  </hyperlinks>
  <drawing r:id="rId15"/>
  <tableParts count="2"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17.43"/>
    <col customWidth="1" min="4" max="4" width="20.71"/>
    <col customWidth="1" min="5" max="5" width="24.71"/>
    <col customWidth="1" min="6" max="6" width="32.86"/>
    <col customWidth="1" min="7" max="7" width="19.29"/>
    <col customWidth="1" min="8" max="8" width="25.57"/>
    <col customWidth="1" min="9" max="9" width="27.14"/>
  </cols>
  <sheetData>
    <row r="1" ht="79.5" customHeight="1">
      <c r="A1" s="47" t="s">
        <v>22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59" t="s">
        <v>13</v>
      </c>
      <c r="B2" s="39"/>
      <c r="C2" s="39"/>
      <c r="D2" s="39"/>
      <c r="E2" s="39"/>
      <c r="F2" s="39"/>
      <c r="G2" s="39"/>
      <c r="H2" s="39"/>
      <c r="I2" s="37"/>
      <c r="J2" s="65"/>
    </row>
    <row r="3">
      <c r="A3" s="69" t="s">
        <v>15</v>
      </c>
      <c r="B3" s="69" t="s">
        <v>16</v>
      </c>
      <c r="C3" s="73" t="s">
        <v>17</v>
      </c>
      <c r="D3" s="69" t="s">
        <v>18</v>
      </c>
      <c r="E3" s="69" t="s">
        <v>19</v>
      </c>
      <c r="F3" s="69" t="s">
        <v>20</v>
      </c>
      <c r="G3" s="55" t="s">
        <v>21</v>
      </c>
      <c r="H3" s="76" t="s">
        <v>24</v>
      </c>
      <c r="I3" s="76" t="s">
        <v>25</v>
      </c>
      <c r="J3" s="78"/>
    </row>
    <row r="4">
      <c r="A4" s="79">
        <v>1.0</v>
      </c>
      <c r="B4" s="82" t="s">
        <v>42</v>
      </c>
      <c r="C4" s="84" t="s">
        <v>45</v>
      </c>
      <c r="D4" s="88" t="s">
        <v>46</v>
      </c>
      <c r="E4" s="96" t="s">
        <v>57</v>
      </c>
      <c r="F4" s="106" t="s">
        <v>35</v>
      </c>
      <c r="G4" s="111">
        <v>2024.0</v>
      </c>
      <c r="H4" s="112" t="s">
        <v>82</v>
      </c>
      <c r="I4" s="113" t="s">
        <v>85</v>
      </c>
      <c r="J4" s="114"/>
    </row>
    <row r="5">
      <c r="A5" s="79">
        <v>2.0</v>
      </c>
      <c r="B5" s="61" t="s">
        <v>89</v>
      </c>
      <c r="C5" s="117" t="s">
        <v>90</v>
      </c>
      <c r="D5" s="66" t="s">
        <v>31</v>
      </c>
      <c r="E5" s="96" t="s">
        <v>95</v>
      </c>
      <c r="F5" s="106" t="s">
        <v>35</v>
      </c>
      <c r="G5" s="111">
        <v>2024.0</v>
      </c>
      <c r="H5" s="77" t="s">
        <v>102</v>
      </c>
      <c r="I5" s="113" t="s">
        <v>103</v>
      </c>
      <c r="J5" s="114"/>
    </row>
    <row r="6">
      <c r="A6" s="79">
        <v>3.0</v>
      </c>
      <c r="B6" s="61" t="s">
        <v>104</v>
      </c>
      <c r="C6" s="123" t="s">
        <v>105</v>
      </c>
      <c r="D6" s="127" t="s">
        <v>43</v>
      </c>
      <c r="E6" s="130" t="s">
        <v>108</v>
      </c>
      <c r="F6" s="106" t="s">
        <v>35</v>
      </c>
      <c r="G6" s="132">
        <v>2024.0</v>
      </c>
      <c r="H6" s="77" t="s">
        <v>119</v>
      </c>
      <c r="I6" s="113" t="s">
        <v>120</v>
      </c>
      <c r="J6" s="114"/>
    </row>
    <row r="7">
      <c r="A7" s="79">
        <v>4.0</v>
      </c>
      <c r="B7" s="61"/>
      <c r="C7" s="123"/>
      <c r="D7" s="112"/>
      <c r="E7" s="112"/>
      <c r="F7" s="106"/>
      <c r="G7" s="132"/>
      <c r="H7" s="77"/>
      <c r="I7" s="77"/>
      <c r="J7" s="114"/>
    </row>
    <row r="8">
      <c r="A8" s="79">
        <v>5.0</v>
      </c>
      <c r="B8" s="112"/>
      <c r="C8" s="136"/>
      <c r="D8" s="112"/>
      <c r="E8" s="112"/>
      <c r="F8" s="138"/>
      <c r="G8" s="127"/>
      <c r="H8" s="112"/>
      <c r="I8" s="140"/>
      <c r="J8" s="114"/>
    </row>
    <row r="9">
      <c r="A9" s="79">
        <v>6.0</v>
      </c>
      <c r="B9" s="82"/>
      <c r="C9" s="141"/>
      <c r="D9" s="142"/>
      <c r="E9" s="112"/>
      <c r="F9" s="138"/>
      <c r="G9" s="127"/>
      <c r="H9" s="112"/>
      <c r="I9" s="140"/>
      <c r="J9" s="114"/>
    </row>
    <row r="10">
      <c r="A10" s="79">
        <v>7.0</v>
      </c>
      <c r="B10" s="82"/>
      <c r="C10" s="141"/>
      <c r="D10" s="142"/>
      <c r="E10" s="112"/>
      <c r="F10" s="138"/>
      <c r="G10" s="112"/>
      <c r="H10" s="112"/>
      <c r="I10" s="140"/>
      <c r="J10" s="114"/>
    </row>
    <row r="11">
      <c r="A11" s="79">
        <v>8.0</v>
      </c>
      <c r="B11" s="82"/>
      <c r="C11" s="141"/>
      <c r="D11" s="142"/>
      <c r="E11" s="112"/>
      <c r="F11" s="138"/>
      <c r="G11" s="112"/>
      <c r="H11" s="112"/>
      <c r="I11" s="140"/>
      <c r="J11" s="114"/>
    </row>
    <row r="12">
      <c r="A12" s="79">
        <v>9.0</v>
      </c>
      <c r="B12" s="82"/>
      <c r="C12" s="141"/>
      <c r="D12" s="142"/>
      <c r="E12" s="112"/>
      <c r="F12" s="138"/>
      <c r="G12" s="112"/>
      <c r="H12" s="112"/>
      <c r="I12" s="140"/>
      <c r="J12" s="114"/>
    </row>
    <row r="13">
      <c r="A13" s="79">
        <v>10.0</v>
      </c>
      <c r="B13" s="112"/>
      <c r="C13" s="136"/>
      <c r="D13" s="112"/>
      <c r="E13" s="112"/>
      <c r="F13" s="138"/>
      <c r="G13" s="112"/>
      <c r="H13" s="112"/>
      <c r="I13" s="140"/>
      <c r="J13" s="114"/>
    </row>
    <row r="14">
      <c r="A14" s="79">
        <v>11.0</v>
      </c>
      <c r="B14" s="112"/>
      <c r="C14" s="136"/>
      <c r="D14" s="112"/>
      <c r="E14" s="112"/>
      <c r="F14" s="138"/>
      <c r="G14" s="112"/>
      <c r="H14" s="112"/>
      <c r="I14" s="140"/>
      <c r="J14" s="114"/>
    </row>
    <row r="15">
      <c r="A15" s="79">
        <v>12.0</v>
      </c>
      <c r="B15" s="112"/>
      <c r="C15" s="148"/>
      <c r="D15" s="112"/>
      <c r="E15" s="112"/>
      <c r="F15" s="138"/>
      <c r="G15" s="112"/>
      <c r="H15" s="112"/>
      <c r="I15" s="140"/>
      <c r="J15" s="114"/>
    </row>
    <row r="16">
      <c r="A16" s="153">
        <v>13.0</v>
      </c>
      <c r="B16" s="112"/>
      <c r="C16" s="148"/>
      <c r="D16" s="112"/>
      <c r="E16" s="112"/>
      <c r="F16" s="138"/>
      <c r="G16" s="112"/>
      <c r="H16" s="112"/>
      <c r="I16" s="140"/>
      <c r="J16" s="114"/>
    </row>
    <row r="17">
      <c r="A17" s="160" t="s">
        <v>123</v>
      </c>
      <c r="B17" s="39"/>
      <c r="C17" s="39"/>
      <c r="D17" s="39"/>
      <c r="E17" s="39"/>
      <c r="F17" s="39"/>
      <c r="G17" s="39"/>
      <c r="H17" s="39"/>
      <c r="I17" s="37"/>
      <c r="J17" s="65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114"/>
    </row>
    <row r="19">
      <c r="A19" s="79">
        <v>1.0</v>
      </c>
      <c r="B19" s="165" t="s">
        <v>149</v>
      </c>
      <c r="C19" s="167" t="s">
        <v>152</v>
      </c>
      <c r="D19" s="123" t="s">
        <v>31</v>
      </c>
      <c r="E19" s="172" t="s">
        <v>154</v>
      </c>
      <c r="F19" s="106" t="s">
        <v>147</v>
      </c>
      <c r="G19" s="111">
        <v>2024.0</v>
      </c>
      <c r="H19" s="175" t="s">
        <v>163</v>
      </c>
      <c r="I19" s="176" t="s">
        <v>165</v>
      </c>
      <c r="J19" s="114"/>
    </row>
    <row r="20">
      <c r="A20" s="79">
        <v>2.0</v>
      </c>
      <c r="B20" s="165" t="s">
        <v>166</v>
      </c>
      <c r="C20" s="167" t="s">
        <v>167</v>
      </c>
      <c r="D20" s="178" t="s">
        <v>169</v>
      </c>
      <c r="E20" s="172" t="s">
        <v>173</v>
      </c>
      <c r="F20" s="106" t="s">
        <v>147</v>
      </c>
      <c r="G20" s="111">
        <v>2024.0</v>
      </c>
      <c r="H20" s="175" t="s">
        <v>176</v>
      </c>
      <c r="I20" s="176" t="s">
        <v>177</v>
      </c>
      <c r="J20" s="114"/>
    </row>
    <row r="21">
      <c r="A21" s="79">
        <v>3.0</v>
      </c>
      <c r="B21" s="165" t="s">
        <v>178</v>
      </c>
      <c r="C21" s="183" t="s">
        <v>180</v>
      </c>
      <c r="D21" s="123" t="s">
        <v>31</v>
      </c>
      <c r="E21" s="172" t="s">
        <v>182</v>
      </c>
      <c r="F21" s="106" t="s">
        <v>147</v>
      </c>
      <c r="G21" s="111">
        <v>2024.0</v>
      </c>
      <c r="H21" s="185" t="s">
        <v>186</v>
      </c>
      <c r="I21" s="176" t="s">
        <v>190</v>
      </c>
      <c r="J21" s="114"/>
    </row>
    <row r="22">
      <c r="A22" s="79">
        <v>4.0</v>
      </c>
      <c r="B22" s="165" t="s">
        <v>192</v>
      </c>
      <c r="C22" s="188" t="s">
        <v>193</v>
      </c>
      <c r="D22" s="178" t="s">
        <v>169</v>
      </c>
      <c r="E22" s="163" t="s">
        <v>196</v>
      </c>
      <c r="F22" s="106" t="s">
        <v>147</v>
      </c>
      <c r="G22" s="111">
        <v>2024.0</v>
      </c>
      <c r="H22" s="175" t="s">
        <v>201</v>
      </c>
      <c r="I22" s="176" t="s">
        <v>202</v>
      </c>
      <c r="J22" s="114"/>
    </row>
    <row r="23">
      <c r="A23" s="79">
        <v>5.0</v>
      </c>
      <c r="B23" s="165" t="s">
        <v>203</v>
      </c>
      <c r="C23" s="167" t="s">
        <v>204</v>
      </c>
      <c r="D23" s="178" t="s">
        <v>205</v>
      </c>
      <c r="E23" s="192" t="s">
        <v>207</v>
      </c>
      <c r="F23" s="106" t="s">
        <v>147</v>
      </c>
      <c r="G23" s="111">
        <v>2024.0</v>
      </c>
      <c r="H23" s="175" t="s">
        <v>218</v>
      </c>
      <c r="I23" s="176" t="s">
        <v>219</v>
      </c>
      <c r="J23" s="114"/>
    </row>
    <row r="24">
      <c r="A24" s="195">
        <v>6.0</v>
      </c>
      <c r="B24" s="196" t="s">
        <v>222</v>
      </c>
      <c r="C24" s="198" t="s">
        <v>225</v>
      </c>
      <c r="D24" s="200" t="s">
        <v>46</v>
      </c>
      <c r="E24" s="203" t="s">
        <v>231</v>
      </c>
      <c r="F24" s="204" t="s">
        <v>147</v>
      </c>
      <c r="G24" s="200">
        <v>2024.0</v>
      </c>
      <c r="H24" s="206" t="s">
        <v>247</v>
      </c>
      <c r="I24" s="207" t="s">
        <v>62</v>
      </c>
      <c r="J24" s="209"/>
    </row>
    <row r="25">
      <c r="A25" s="195">
        <v>7.0</v>
      </c>
      <c r="B25" s="196" t="s">
        <v>249</v>
      </c>
      <c r="C25" s="198" t="s">
        <v>225</v>
      </c>
      <c r="D25" s="200" t="s">
        <v>46</v>
      </c>
      <c r="E25" s="203" t="s">
        <v>250</v>
      </c>
      <c r="F25" s="204" t="s">
        <v>147</v>
      </c>
      <c r="G25" s="200">
        <v>2024.0</v>
      </c>
      <c r="H25" s="213" t="s">
        <v>252</v>
      </c>
      <c r="I25" s="207" t="s">
        <v>62</v>
      </c>
      <c r="J25" s="209"/>
    </row>
    <row r="26">
      <c r="A26" s="195">
        <v>8.0</v>
      </c>
      <c r="B26" s="196" t="s">
        <v>274</v>
      </c>
      <c r="C26" s="198" t="s">
        <v>225</v>
      </c>
      <c r="D26" s="200" t="s">
        <v>46</v>
      </c>
      <c r="E26" s="203" t="s">
        <v>277</v>
      </c>
      <c r="F26" s="204" t="s">
        <v>147</v>
      </c>
      <c r="G26" s="200">
        <v>2024.0</v>
      </c>
      <c r="H26" s="206" t="s">
        <v>281</v>
      </c>
      <c r="I26" s="207" t="s">
        <v>62</v>
      </c>
      <c r="J26" s="209"/>
    </row>
    <row r="27">
      <c r="A27" s="79">
        <v>9.0</v>
      </c>
      <c r="B27" s="214"/>
      <c r="C27" s="217"/>
      <c r="D27" s="219"/>
      <c r="E27" s="219"/>
      <c r="F27" s="223"/>
      <c r="G27" s="178"/>
      <c r="H27" s="77"/>
      <c r="I27" s="225"/>
      <c r="J27" s="114"/>
    </row>
    <row r="28">
      <c r="A28" s="79">
        <v>10.0</v>
      </c>
      <c r="B28" s="82"/>
      <c r="C28" s="148"/>
      <c r="D28" s="112"/>
      <c r="E28" s="112"/>
      <c r="F28" s="138"/>
      <c r="G28" s="127"/>
      <c r="H28" s="112"/>
      <c r="I28" s="140"/>
      <c r="J28" s="114"/>
    </row>
    <row r="29">
      <c r="A29" s="79">
        <v>11.0</v>
      </c>
      <c r="B29" s="82"/>
      <c r="C29" s="148"/>
      <c r="D29" s="112"/>
      <c r="E29" s="112"/>
      <c r="F29" s="138"/>
      <c r="G29" s="127"/>
      <c r="H29" s="112"/>
      <c r="I29" s="140"/>
      <c r="J29" s="114"/>
    </row>
    <row r="30">
      <c r="A30" s="79">
        <v>12.0</v>
      </c>
      <c r="B30" s="82"/>
      <c r="C30" s="148"/>
      <c r="D30" s="112"/>
      <c r="E30" s="112"/>
      <c r="F30" s="138"/>
      <c r="G30" s="112"/>
      <c r="H30" s="112"/>
      <c r="I30" s="140"/>
      <c r="J30" s="114"/>
    </row>
    <row r="31">
      <c r="A31" s="153">
        <v>13.0</v>
      </c>
      <c r="B31" s="82"/>
      <c r="C31" s="148"/>
      <c r="D31" s="112"/>
      <c r="E31" s="112"/>
      <c r="F31" s="138"/>
      <c r="G31" s="112"/>
      <c r="H31" s="112"/>
      <c r="I31" s="140"/>
      <c r="J31" s="114"/>
    </row>
    <row r="32">
      <c r="A32" s="160" t="s">
        <v>251</v>
      </c>
      <c r="B32" s="39"/>
      <c r="C32" s="39"/>
      <c r="D32" s="39"/>
      <c r="E32" s="39"/>
      <c r="F32" s="39"/>
      <c r="G32" s="39"/>
      <c r="H32" s="39"/>
      <c r="I32" s="37"/>
      <c r="J32" s="65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114"/>
    </row>
    <row r="34">
      <c r="A34" s="79">
        <v>1.0</v>
      </c>
      <c r="B34" s="142"/>
      <c r="C34" s="140"/>
      <c r="D34" s="142"/>
      <c r="E34" s="142"/>
      <c r="F34" s="142"/>
      <c r="G34" s="142"/>
      <c r="H34" s="142"/>
      <c r="I34" s="140"/>
      <c r="J34" s="114"/>
    </row>
    <row r="35">
      <c r="A35" s="79">
        <v>2.0</v>
      </c>
      <c r="B35" s="142"/>
      <c r="C35" s="140"/>
      <c r="D35" s="142"/>
      <c r="E35" s="142"/>
      <c r="F35" s="142"/>
      <c r="G35" s="142"/>
      <c r="H35" s="142"/>
      <c r="I35" s="140"/>
      <c r="J35" s="114"/>
    </row>
    <row r="36">
      <c r="A36" s="79">
        <v>3.0</v>
      </c>
      <c r="B36" s="142"/>
      <c r="C36" s="140"/>
      <c r="D36" s="142"/>
      <c r="E36" s="142"/>
      <c r="F36" s="142"/>
      <c r="G36" s="142"/>
      <c r="H36" s="142"/>
      <c r="I36" s="140"/>
      <c r="J36" s="114"/>
    </row>
    <row r="37">
      <c r="A37" s="79">
        <v>4.0</v>
      </c>
      <c r="B37" s="142"/>
      <c r="C37" s="140"/>
      <c r="D37" s="142"/>
      <c r="E37" s="142"/>
      <c r="F37" s="142"/>
      <c r="G37" s="142"/>
      <c r="H37" s="142"/>
      <c r="I37" s="140"/>
      <c r="J37" s="114"/>
    </row>
    <row r="38">
      <c r="A38" s="79">
        <v>5.0</v>
      </c>
      <c r="B38" s="142"/>
      <c r="C38" s="140"/>
      <c r="D38" s="142"/>
      <c r="E38" s="142"/>
      <c r="F38" s="142"/>
      <c r="G38" s="142"/>
      <c r="H38" s="142"/>
      <c r="I38" s="140"/>
      <c r="J38" s="114"/>
    </row>
    <row r="39">
      <c r="A39" s="79">
        <v>6.0</v>
      </c>
      <c r="B39" s="142"/>
      <c r="C39" s="140"/>
      <c r="D39" s="142"/>
      <c r="E39" s="142"/>
      <c r="F39" s="142"/>
      <c r="G39" s="142"/>
      <c r="H39" s="142"/>
      <c r="I39" s="140"/>
      <c r="J39" s="114"/>
    </row>
    <row r="40">
      <c r="A40" s="79">
        <v>7.0</v>
      </c>
      <c r="B40" s="142"/>
      <c r="C40" s="140"/>
      <c r="D40" s="142"/>
      <c r="E40" s="142"/>
      <c r="F40" s="142"/>
      <c r="G40" s="142"/>
      <c r="H40" s="142"/>
      <c r="I40" s="140"/>
      <c r="J40" s="114"/>
    </row>
    <row r="41">
      <c r="A41" s="79">
        <v>8.0</v>
      </c>
      <c r="B41" s="228"/>
      <c r="C41" s="225"/>
      <c r="D41" s="228"/>
      <c r="E41" s="228"/>
      <c r="F41" s="228"/>
      <c r="G41" s="228"/>
      <c r="H41" s="228"/>
      <c r="I41" s="225"/>
      <c r="J41" s="114"/>
    </row>
    <row r="42">
      <c r="A42" s="79">
        <v>9.0</v>
      </c>
      <c r="B42" s="228"/>
      <c r="C42" s="225"/>
      <c r="D42" s="228"/>
      <c r="E42" s="228"/>
      <c r="F42" s="228"/>
      <c r="G42" s="228"/>
      <c r="H42" s="228"/>
      <c r="I42" s="225"/>
      <c r="J42" s="114"/>
    </row>
    <row r="43">
      <c r="A43" s="79">
        <v>10.0</v>
      </c>
      <c r="B43" s="228"/>
      <c r="C43" s="225"/>
      <c r="D43" s="228"/>
      <c r="E43" s="228"/>
      <c r="F43" s="228"/>
      <c r="G43" s="228"/>
      <c r="H43" s="228"/>
      <c r="I43" s="225"/>
      <c r="J43" s="114"/>
    </row>
    <row r="44">
      <c r="A44" s="79">
        <v>11.0</v>
      </c>
      <c r="B44" s="228"/>
      <c r="C44" s="225"/>
      <c r="D44" s="228"/>
      <c r="E44" s="228"/>
      <c r="F44" s="228"/>
      <c r="G44" s="228"/>
      <c r="H44" s="228"/>
      <c r="I44" s="225"/>
      <c r="J44" s="114"/>
    </row>
    <row r="45">
      <c r="A45" s="79">
        <v>12.0</v>
      </c>
      <c r="B45" s="228"/>
      <c r="C45" s="225"/>
      <c r="D45" s="228"/>
      <c r="E45" s="228"/>
      <c r="F45" s="228"/>
      <c r="G45" s="228"/>
      <c r="H45" s="228"/>
      <c r="I45" s="225"/>
      <c r="J45" s="114"/>
    </row>
    <row r="46">
      <c r="A46" s="153">
        <v>13.0</v>
      </c>
      <c r="B46" s="228"/>
      <c r="C46" s="225"/>
      <c r="D46" s="228"/>
      <c r="E46" s="228"/>
      <c r="F46" s="228"/>
      <c r="G46" s="228"/>
      <c r="H46" s="228"/>
      <c r="I46" s="225"/>
      <c r="J46" s="114"/>
    </row>
    <row r="47">
      <c r="A47" s="231"/>
      <c r="B47" s="37"/>
      <c r="C47" s="232"/>
      <c r="D47" s="233"/>
      <c r="E47" s="233"/>
      <c r="F47" s="233"/>
      <c r="G47" s="233"/>
      <c r="H47" s="233"/>
      <c r="I47" s="232"/>
      <c r="J47" s="114"/>
    </row>
  </sheetData>
  <mergeCells count="5">
    <mergeCell ref="A1:J1"/>
    <mergeCell ref="A2:I2"/>
    <mergeCell ref="A17:I17"/>
    <mergeCell ref="A32:I32"/>
    <mergeCell ref="A47:B47"/>
  </mergeCells>
  <dataValidations>
    <dataValidation type="list" allowBlank="1" showErrorMessage="1" sqref="F4:F6 F19:F26">
      <formula1>"Acompanhamento na revista,Registro concedido,Aguardando Deposito"</formula1>
    </dataValidation>
    <dataValidation type="list" allowBlank="1" showErrorMessage="1" sqref="F27:F31">
      <formula1>"Acompanhamento na revista,Registro concedido"</formula1>
    </dataValidation>
  </dataValidations>
  <hyperlinks>
    <hyperlink r:id="rId1" ref="E4"/>
    <hyperlink r:id="rId2" ref="E5"/>
    <hyperlink r:id="rId3" ref="E6"/>
    <hyperlink r:id="rId4" ref="E19"/>
    <hyperlink r:id="rId5" ref="E20"/>
    <hyperlink r:id="rId6" ref="E21"/>
    <hyperlink r:id="rId7" ref="E22"/>
    <hyperlink r:id="rId8" ref="E23"/>
    <hyperlink r:id="rId9" ref="E24"/>
    <hyperlink r:id="rId10" ref="E25"/>
    <hyperlink r:id="rId11" ref="H25"/>
    <hyperlink r:id="rId12" ref="E26"/>
  </hyperlinks>
  <drawing r:id="rId13"/>
  <tableParts count="4"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17.43"/>
    <col customWidth="1" min="4" max="4" width="23.0"/>
    <col customWidth="1" min="5" max="5" width="24.71"/>
    <col customWidth="1" min="6" max="6" width="32.86"/>
    <col customWidth="1" min="7" max="7" width="19.29"/>
    <col customWidth="1" min="8" max="8" width="22.57"/>
    <col customWidth="1" min="9" max="9" width="25.29"/>
  </cols>
  <sheetData>
    <row r="1" ht="79.5" customHeight="1">
      <c r="A1" s="47" t="s">
        <v>286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59" t="s">
        <v>13</v>
      </c>
      <c r="B2" s="39"/>
      <c r="C2" s="39"/>
      <c r="D2" s="39"/>
      <c r="E2" s="39"/>
      <c r="F2" s="39"/>
      <c r="G2" s="39"/>
      <c r="H2" s="39"/>
      <c r="I2" s="37"/>
      <c r="J2" s="65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114"/>
    </row>
    <row r="4">
      <c r="A4" s="227">
        <v>1.0</v>
      </c>
      <c r="B4" s="61" t="s">
        <v>287</v>
      </c>
      <c r="C4" s="66" t="s">
        <v>288</v>
      </c>
      <c r="D4" s="111" t="s">
        <v>46</v>
      </c>
      <c r="E4" s="229" t="s">
        <v>289</v>
      </c>
      <c r="F4" s="230" t="s">
        <v>35</v>
      </c>
      <c r="G4" s="178">
        <v>2023.0</v>
      </c>
      <c r="H4" s="77" t="s">
        <v>290</v>
      </c>
      <c r="I4" s="77" t="s">
        <v>291</v>
      </c>
      <c r="J4" s="228"/>
    </row>
    <row r="5">
      <c r="A5" s="227">
        <v>2.0</v>
      </c>
      <c r="B5" s="61" t="s">
        <v>292</v>
      </c>
      <c r="C5" s="66" t="s">
        <v>293</v>
      </c>
      <c r="D5" s="178" t="s">
        <v>43</v>
      </c>
      <c r="E5" s="234" t="s">
        <v>108</v>
      </c>
      <c r="F5" s="230" t="s">
        <v>35</v>
      </c>
      <c r="G5" s="178">
        <v>2023.0</v>
      </c>
      <c r="H5" s="77" t="s">
        <v>294</v>
      </c>
      <c r="I5" s="77" t="s">
        <v>295</v>
      </c>
      <c r="J5" s="228"/>
    </row>
    <row r="6">
      <c r="A6" s="227">
        <v>3.0</v>
      </c>
      <c r="B6" s="61" t="s">
        <v>297</v>
      </c>
      <c r="C6" s="66" t="s">
        <v>298</v>
      </c>
      <c r="D6" s="178" t="s">
        <v>299</v>
      </c>
      <c r="E6" s="235" t="s">
        <v>300</v>
      </c>
      <c r="F6" s="230" t="s">
        <v>35</v>
      </c>
      <c r="G6" s="178">
        <v>2023.0</v>
      </c>
      <c r="H6" s="175" t="s">
        <v>302</v>
      </c>
      <c r="I6" s="77" t="s">
        <v>303</v>
      </c>
      <c r="J6" s="228"/>
    </row>
    <row r="7">
      <c r="A7" s="79">
        <v>4.0</v>
      </c>
      <c r="B7" s="236" t="s">
        <v>304</v>
      </c>
      <c r="C7" s="66" t="s">
        <v>305</v>
      </c>
      <c r="D7" s="127" t="s">
        <v>255</v>
      </c>
      <c r="E7" s="96" t="s">
        <v>306</v>
      </c>
      <c r="F7" s="106" t="s">
        <v>35</v>
      </c>
      <c r="G7" s="127">
        <v>2023.0</v>
      </c>
      <c r="H7" s="175" t="s">
        <v>307</v>
      </c>
      <c r="I7" s="77" t="s">
        <v>308</v>
      </c>
      <c r="J7" s="114"/>
    </row>
    <row r="8">
      <c r="A8" s="227">
        <v>5.0</v>
      </c>
      <c r="B8" s="61" t="s">
        <v>309</v>
      </c>
      <c r="C8" s="66" t="s">
        <v>310</v>
      </c>
      <c r="D8" s="178" t="s">
        <v>299</v>
      </c>
      <c r="E8" s="234" t="s">
        <v>108</v>
      </c>
      <c r="F8" s="230" t="s">
        <v>35</v>
      </c>
      <c r="G8" s="178">
        <v>2023.0</v>
      </c>
      <c r="H8" s="77" t="s">
        <v>313</v>
      </c>
      <c r="I8" s="77" t="s">
        <v>314</v>
      </c>
      <c r="J8" s="228"/>
    </row>
    <row r="9">
      <c r="A9" s="227">
        <v>6.0</v>
      </c>
      <c r="B9" s="61" t="s">
        <v>316</v>
      </c>
      <c r="C9" s="66" t="s">
        <v>317</v>
      </c>
      <c r="D9" s="111" t="s">
        <v>46</v>
      </c>
      <c r="E9" s="192" t="s">
        <v>318</v>
      </c>
      <c r="F9" s="230" t="s">
        <v>35</v>
      </c>
      <c r="G9" s="178">
        <v>2023.0</v>
      </c>
      <c r="H9" s="77" t="s">
        <v>320</v>
      </c>
      <c r="I9" s="77" t="s">
        <v>321</v>
      </c>
      <c r="J9" s="228"/>
    </row>
    <row r="10">
      <c r="A10" s="227">
        <v>7.0</v>
      </c>
      <c r="B10" s="66" t="s">
        <v>322</v>
      </c>
      <c r="C10" s="66" t="s">
        <v>323</v>
      </c>
      <c r="D10" s="178" t="s">
        <v>66</v>
      </c>
      <c r="E10" s="192" t="s">
        <v>324</v>
      </c>
      <c r="F10" s="230" t="s">
        <v>35</v>
      </c>
      <c r="G10" s="178">
        <v>2023.0</v>
      </c>
      <c r="H10" s="77" t="s">
        <v>326</v>
      </c>
      <c r="I10" s="77" t="s">
        <v>327</v>
      </c>
      <c r="J10" s="228"/>
    </row>
    <row r="11">
      <c r="A11" s="227">
        <v>8.0</v>
      </c>
      <c r="B11" s="61" t="s">
        <v>328</v>
      </c>
      <c r="C11" s="66" t="s">
        <v>329</v>
      </c>
      <c r="D11" s="111" t="s">
        <v>46</v>
      </c>
      <c r="E11" s="61" t="s">
        <v>330</v>
      </c>
      <c r="F11" s="230" t="s">
        <v>35</v>
      </c>
      <c r="G11" s="178">
        <v>2023.0</v>
      </c>
      <c r="H11" s="77" t="s">
        <v>331</v>
      </c>
      <c r="I11" s="77" t="s">
        <v>333</v>
      </c>
      <c r="J11" s="228"/>
    </row>
    <row r="12">
      <c r="A12" s="79">
        <v>9.0</v>
      </c>
      <c r="B12" s="82"/>
      <c r="C12" s="142"/>
      <c r="D12" s="142"/>
      <c r="E12" s="112"/>
      <c r="F12" s="106"/>
      <c r="G12" s="127"/>
      <c r="H12" s="112"/>
      <c r="I12" s="228"/>
      <c r="J12" s="114"/>
    </row>
    <row r="13">
      <c r="A13" s="79">
        <v>10.0</v>
      </c>
      <c r="B13" s="112"/>
      <c r="C13" s="112"/>
      <c r="D13" s="112"/>
      <c r="E13" s="112"/>
      <c r="F13" s="106"/>
      <c r="G13" s="127"/>
      <c r="H13" s="112"/>
      <c r="I13" s="142"/>
      <c r="J13" s="114"/>
    </row>
    <row r="14">
      <c r="A14" s="79">
        <v>11.0</v>
      </c>
      <c r="B14" s="112"/>
      <c r="C14" s="112"/>
      <c r="D14" s="112"/>
      <c r="E14" s="112"/>
      <c r="F14" s="106"/>
      <c r="G14" s="127"/>
      <c r="H14" s="112"/>
      <c r="I14" s="142"/>
      <c r="J14" s="114"/>
    </row>
    <row r="15">
      <c r="A15" s="79">
        <v>12.0</v>
      </c>
      <c r="B15" s="112"/>
      <c r="C15" s="112"/>
      <c r="D15" s="112"/>
      <c r="E15" s="112"/>
      <c r="F15" s="106"/>
      <c r="G15" s="112"/>
      <c r="H15" s="112"/>
      <c r="I15" s="142"/>
      <c r="J15" s="114"/>
    </row>
    <row r="16">
      <c r="A16" s="153">
        <v>13.0</v>
      </c>
      <c r="B16" s="112"/>
      <c r="C16" s="112"/>
      <c r="D16" s="112"/>
      <c r="E16" s="112"/>
      <c r="F16" s="106"/>
      <c r="G16" s="112"/>
      <c r="H16" s="112"/>
      <c r="I16" s="142"/>
      <c r="J16" s="114"/>
    </row>
    <row r="17">
      <c r="A17" s="160" t="s">
        <v>123</v>
      </c>
      <c r="B17" s="39"/>
      <c r="C17" s="39"/>
      <c r="D17" s="39"/>
      <c r="E17" s="39"/>
      <c r="F17" s="39"/>
      <c r="G17" s="39"/>
      <c r="H17" s="39"/>
      <c r="I17" s="37"/>
      <c r="J17" s="65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114"/>
    </row>
    <row r="19">
      <c r="A19" s="79">
        <v>1.0</v>
      </c>
      <c r="B19" s="241" t="s">
        <v>347</v>
      </c>
      <c r="C19" s="66" t="s">
        <v>352</v>
      </c>
      <c r="D19" s="88" t="s">
        <v>46</v>
      </c>
      <c r="E19" s="112" t="s">
        <v>353</v>
      </c>
      <c r="F19" s="106" t="s">
        <v>147</v>
      </c>
      <c r="G19" s="127">
        <v>2023.0</v>
      </c>
      <c r="H19" s="77" t="s">
        <v>357</v>
      </c>
      <c r="I19" s="77" t="s">
        <v>358</v>
      </c>
      <c r="J19" s="114"/>
    </row>
    <row r="20">
      <c r="A20" s="79">
        <v>2.0</v>
      </c>
      <c r="B20" s="165" t="s">
        <v>359</v>
      </c>
      <c r="C20" s="165" t="s">
        <v>361</v>
      </c>
      <c r="D20" s="88" t="s">
        <v>46</v>
      </c>
      <c r="E20" s="112"/>
      <c r="F20" s="106" t="s">
        <v>147</v>
      </c>
      <c r="G20" s="127">
        <v>2023.0</v>
      </c>
      <c r="H20" s="175" t="s">
        <v>365</v>
      </c>
      <c r="I20" s="176" t="s">
        <v>367</v>
      </c>
      <c r="J20" s="114"/>
    </row>
    <row r="21">
      <c r="A21" s="79">
        <v>3.0</v>
      </c>
      <c r="B21" s="165" t="s">
        <v>368</v>
      </c>
      <c r="C21" s="243" t="s">
        <v>369</v>
      </c>
      <c r="D21" s="127" t="s">
        <v>56</v>
      </c>
      <c r="E21" s="112"/>
      <c r="F21" s="106" t="s">
        <v>147</v>
      </c>
      <c r="G21" s="127">
        <v>2023.0</v>
      </c>
      <c r="H21" s="175" t="s">
        <v>370</v>
      </c>
      <c r="I21" s="176" t="s">
        <v>371</v>
      </c>
      <c r="J21" s="114"/>
    </row>
    <row r="22">
      <c r="A22" s="79">
        <v>4.0</v>
      </c>
      <c r="B22" s="165" t="s">
        <v>373</v>
      </c>
      <c r="C22" s="165" t="s">
        <v>375</v>
      </c>
      <c r="D22" s="127" t="s">
        <v>169</v>
      </c>
      <c r="E22" s="112"/>
      <c r="F22" s="106" t="s">
        <v>147</v>
      </c>
      <c r="G22" s="127">
        <v>2023.0</v>
      </c>
      <c r="H22" s="175" t="s">
        <v>380</v>
      </c>
      <c r="I22" s="176" t="s">
        <v>381</v>
      </c>
      <c r="J22" s="114"/>
    </row>
    <row r="23">
      <c r="A23" s="79">
        <v>5.0</v>
      </c>
      <c r="B23" s="165" t="s">
        <v>384</v>
      </c>
      <c r="C23" s="165" t="s">
        <v>385</v>
      </c>
      <c r="D23" s="88" t="s">
        <v>46</v>
      </c>
      <c r="E23" s="112"/>
      <c r="F23" s="106" t="s">
        <v>147</v>
      </c>
      <c r="G23" s="127">
        <v>2023.0</v>
      </c>
      <c r="H23" s="175" t="s">
        <v>387</v>
      </c>
      <c r="I23" s="176" t="s">
        <v>388</v>
      </c>
      <c r="J23" s="114"/>
    </row>
    <row r="24">
      <c r="A24" s="79">
        <v>6.0</v>
      </c>
      <c r="B24" s="165" t="s">
        <v>390</v>
      </c>
      <c r="C24" s="165" t="s">
        <v>385</v>
      </c>
      <c r="D24" s="88" t="s">
        <v>46</v>
      </c>
      <c r="E24" s="112"/>
      <c r="F24" s="106" t="s">
        <v>147</v>
      </c>
      <c r="G24" s="127">
        <v>2023.0</v>
      </c>
      <c r="H24" s="175" t="s">
        <v>392</v>
      </c>
      <c r="I24" s="176" t="s">
        <v>393</v>
      </c>
      <c r="J24" s="114"/>
    </row>
    <row r="25">
      <c r="A25" s="79">
        <v>7.0</v>
      </c>
      <c r="B25" s="165" t="s">
        <v>395</v>
      </c>
      <c r="C25" s="165" t="s">
        <v>396</v>
      </c>
      <c r="D25" s="88" t="s">
        <v>46</v>
      </c>
      <c r="E25" s="112"/>
      <c r="F25" s="106" t="s">
        <v>147</v>
      </c>
      <c r="G25" s="127">
        <v>2023.0</v>
      </c>
      <c r="H25" s="175" t="s">
        <v>398</v>
      </c>
      <c r="I25" s="176" t="s">
        <v>399</v>
      </c>
      <c r="J25" s="114"/>
    </row>
    <row r="26">
      <c r="A26" s="79">
        <v>8.0</v>
      </c>
      <c r="B26" s="165" t="s">
        <v>400</v>
      </c>
      <c r="C26" s="165" t="s">
        <v>401</v>
      </c>
      <c r="D26" s="88" t="s">
        <v>46</v>
      </c>
      <c r="E26" s="112"/>
      <c r="F26" s="106" t="s">
        <v>147</v>
      </c>
      <c r="G26" s="127">
        <v>2023.0</v>
      </c>
      <c r="H26" s="175" t="s">
        <v>402</v>
      </c>
      <c r="I26" s="176" t="s">
        <v>403</v>
      </c>
      <c r="J26" s="114"/>
    </row>
    <row r="27">
      <c r="A27" s="79">
        <v>9.0</v>
      </c>
      <c r="B27" s="165" t="s">
        <v>404</v>
      </c>
      <c r="C27" s="165" t="s">
        <v>405</v>
      </c>
      <c r="D27" s="88" t="s">
        <v>46</v>
      </c>
      <c r="E27" s="112"/>
      <c r="F27" s="106" t="s">
        <v>147</v>
      </c>
      <c r="G27" s="127">
        <v>2023.0</v>
      </c>
      <c r="H27" s="175" t="s">
        <v>406</v>
      </c>
      <c r="I27" s="176" t="s">
        <v>407</v>
      </c>
      <c r="J27" s="114"/>
    </row>
    <row r="28">
      <c r="A28" s="79">
        <v>10.0</v>
      </c>
      <c r="B28" s="165" t="s">
        <v>408</v>
      </c>
      <c r="C28" s="165" t="s">
        <v>409</v>
      </c>
      <c r="D28" s="88" t="s">
        <v>46</v>
      </c>
      <c r="E28" s="112"/>
      <c r="F28" s="106" t="s">
        <v>147</v>
      </c>
      <c r="G28" s="127">
        <v>2023.0</v>
      </c>
      <c r="H28" s="175" t="s">
        <v>412</v>
      </c>
      <c r="I28" s="176" t="s">
        <v>413</v>
      </c>
      <c r="J28" s="114"/>
    </row>
    <row r="29">
      <c r="A29" s="79">
        <v>11.0</v>
      </c>
      <c r="B29" s="165" t="s">
        <v>416</v>
      </c>
      <c r="C29" s="165" t="s">
        <v>417</v>
      </c>
      <c r="D29" s="127" t="s">
        <v>169</v>
      </c>
      <c r="E29" s="112"/>
      <c r="F29" s="106" t="s">
        <v>147</v>
      </c>
      <c r="G29" s="127">
        <v>2023.0</v>
      </c>
      <c r="H29" s="175" t="s">
        <v>419</v>
      </c>
      <c r="I29" s="176" t="s">
        <v>421</v>
      </c>
      <c r="J29" s="114"/>
    </row>
    <row r="30">
      <c r="A30" s="79">
        <v>12.0</v>
      </c>
      <c r="B30" s="165" t="s">
        <v>423</v>
      </c>
      <c r="C30" s="165" t="s">
        <v>424</v>
      </c>
      <c r="D30" s="127" t="s">
        <v>169</v>
      </c>
      <c r="E30" s="112"/>
      <c r="F30" s="106" t="s">
        <v>147</v>
      </c>
      <c r="G30" s="127">
        <v>2023.0</v>
      </c>
      <c r="H30" s="175" t="s">
        <v>425</v>
      </c>
      <c r="I30" s="176" t="s">
        <v>426</v>
      </c>
      <c r="J30" s="114"/>
    </row>
    <row r="31">
      <c r="A31" s="153">
        <v>13.0</v>
      </c>
      <c r="B31" s="165" t="s">
        <v>429</v>
      </c>
      <c r="C31" s="165" t="s">
        <v>431</v>
      </c>
      <c r="D31" s="127" t="s">
        <v>169</v>
      </c>
      <c r="E31" s="112"/>
      <c r="F31" s="106" t="s">
        <v>147</v>
      </c>
      <c r="G31" s="127">
        <v>2023.0</v>
      </c>
      <c r="H31" s="175" t="s">
        <v>435</v>
      </c>
      <c r="I31" s="176" t="s">
        <v>437</v>
      </c>
      <c r="J31" s="114"/>
    </row>
    <row r="32">
      <c r="A32" s="160" t="s">
        <v>251</v>
      </c>
      <c r="B32" s="39"/>
      <c r="C32" s="39"/>
      <c r="D32" s="39"/>
      <c r="E32" s="39"/>
      <c r="F32" s="39"/>
      <c r="G32" s="39"/>
      <c r="H32" s="39"/>
      <c r="I32" s="37"/>
      <c r="J32" s="65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114"/>
    </row>
    <row r="34">
      <c r="A34" s="79">
        <v>1.0</v>
      </c>
      <c r="B34" s="142"/>
      <c r="C34" s="142"/>
      <c r="D34" s="142"/>
      <c r="E34" s="142"/>
      <c r="F34" s="142"/>
      <c r="G34" s="142"/>
      <c r="H34" s="142"/>
      <c r="I34" s="142"/>
      <c r="J34" s="114"/>
    </row>
    <row r="35">
      <c r="A35" s="79">
        <v>2.0</v>
      </c>
      <c r="B35" s="142"/>
      <c r="C35" s="142"/>
      <c r="D35" s="142"/>
      <c r="E35" s="142"/>
      <c r="F35" s="142"/>
      <c r="G35" s="142"/>
      <c r="H35" s="142"/>
      <c r="I35" s="142"/>
      <c r="J35" s="114"/>
    </row>
    <row r="36">
      <c r="A36" s="79">
        <v>3.0</v>
      </c>
      <c r="B36" s="142"/>
      <c r="C36" s="142"/>
      <c r="D36" s="142"/>
      <c r="E36" s="142"/>
      <c r="F36" s="142"/>
      <c r="G36" s="142"/>
      <c r="H36" s="142"/>
      <c r="I36" s="142"/>
      <c r="J36" s="114"/>
    </row>
    <row r="37">
      <c r="A37" s="79">
        <v>4.0</v>
      </c>
      <c r="B37" s="142"/>
      <c r="C37" s="142"/>
      <c r="D37" s="142"/>
      <c r="E37" s="142"/>
      <c r="F37" s="142"/>
      <c r="G37" s="142"/>
      <c r="H37" s="142"/>
      <c r="I37" s="142"/>
      <c r="J37" s="114"/>
    </row>
    <row r="38">
      <c r="A38" s="79">
        <v>5.0</v>
      </c>
      <c r="B38" s="142"/>
      <c r="C38" s="142"/>
      <c r="D38" s="142"/>
      <c r="E38" s="142"/>
      <c r="F38" s="142"/>
      <c r="G38" s="142"/>
      <c r="H38" s="142"/>
      <c r="I38" s="142"/>
      <c r="J38" s="114"/>
    </row>
    <row r="39">
      <c r="A39" s="79">
        <v>6.0</v>
      </c>
      <c r="B39" s="142"/>
      <c r="C39" s="142"/>
      <c r="D39" s="142"/>
      <c r="E39" s="142"/>
      <c r="F39" s="142"/>
      <c r="G39" s="142"/>
      <c r="H39" s="142"/>
      <c r="I39" s="142"/>
      <c r="J39" s="114"/>
    </row>
    <row r="40">
      <c r="A40" s="79">
        <v>7.0</v>
      </c>
      <c r="B40" s="142"/>
      <c r="C40" s="142"/>
      <c r="D40" s="142"/>
      <c r="E40" s="142"/>
      <c r="F40" s="142"/>
      <c r="G40" s="142"/>
      <c r="H40" s="142"/>
      <c r="I40" s="142"/>
      <c r="J40" s="114"/>
    </row>
    <row r="41">
      <c r="A41" s="79">
        <v>8.0</v>
      </c>
      <c r="B41" s="142"/>
      <c r="C41" s="142"/>
      <c r="D41" s="142"/>
      <c r="E41" s="142"/>
      <c r="F41" s="142"/>
      <c r="G41" s="142"/>
      <c r="H41" s="142"/>
      <c r="I41" s="142"/>
      <c r="J41" s="114"/>
    </row>
    <row r="42">
      <c r="A42" s="79">
        <v>9.0</v>
      </c>
      <c r="B42" s="142"/>
      <c r="C42" s="142"/>
      <c r="D42" s="142"/>
      <c r="E42" s="142"/>
      <c r="F42" s="142"/>
      <c r="G42" s="142"/>
      <c r="H42" s="142"/>
      <c r="I42" s="142"/>
      <c r="J42" s="114"/>
    </row>
    <row r="43">
      <c r="A43" s="79">
        <v>10.0</v>
      </c>
      <c r="B43" s="142"/>
      <c r="C43" s="142"/>
      <c r="D43" s="142"/>
      <c r="E43" s="142"/>
      <c r="F43" s="142"/>
      <c r="G43" s="142"/>
      <c r="H43" s="142"/>
      <c r="I43" s="142"/>
      <c r="J43" s="114"/>
    </row>
    <row r="44">
      <c r="A44" s="79">
        <v>11.0</v>
      </c>
      <c r="B44" s="142"/>
      <c r="C44" s="142"/>
      <c r="D44" s="142"/>
      <c r="E44" s="142"/>
      <c r="F44" s="142"/>
      <c r="G44" s="142"/>
      <c r="H44" s="142"/>
      <c r="I44" s="142"/>
      <c r="J44" s="114"/>
    </row>
    <row r="45">
      <c r="A45" s="79">
        <v>12.0</v>
      </c>
      <c r="B45" s="142"/>
      <c r="C45" s="142"/>
      <c r="D45" s="142"/>
      <c r="E45" s="142"/>
      <c r="F45" s="142"/>
      <c r="G45" s="142"/>
      <c r="H45" s="142"/>
      <c r="I45" s="142"/>
      <c r="J45" s="114"/>
    </row>
    <row r="46">
      <c r="A46" s="153">
        <v>13.0</v>
      </c>
      <c r="B46" s="142"/>
      <c r="C46" s="142"/>
      <c r="D46" s="142"/>
      <c r="E46" s="142"/>
      <c r="F46" s="142"/>
      <c r="G46" s="142"/>
      <c r="H46" s="142"/>
      <c r="I46" s="142"/>
      <c r="J46" s="114"/>
    </row>
    <row r="47">
      <c r="A47" s="258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4:F16 F19:F31">
      <formula1>"Acompanhamento na revista,Registro concedido,Aguardando Deposito"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</hyperlinks>
  <drawing r:id="rId8"/>
  <tableParts count="4">
    <tablePart r:id="rId13"/>
    <tablePart r:id="rId14"/>
    <tablePart r:id="rId15"/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43"/>
    <col customWidth="1" min="3" max="3" width="17.43"/>
    <col customWidth="1" min="4" max="4" width="20.71"/>
    <col customWidth="1" min="5" max="5" width="24.71"/>
    <col customWidth="1" min="6" max="6" width="32.86"/>
    <col customWidth="1" min="7" max="7" width="19.29"/>
    <col customWidth="1" min="8" max="8" width="22.57"/>
    <col customWidth="1" min="9" max="9" width="25.29"/>
  </cols>
  <sheetData>
    <row r="1" ht="79.5" customHeight="1">
      <c r="A1" s="47" t="s">
        <v>301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59" t="s">
        <v>13</v>
      </c>
      <c r="B2" s="39"/>
      <c r="C2" s="39"/>
      <c r="D2" s="39"/>
      <c r="E2" s="39"/>
      <c r="F2" s="39"/>
      <c r="G2" s="39"/>
      <c r="H2" s="39"/>
      <c r="I2" s="37"/>
      <c r="J2" s="65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114"/>
    </row>
    <row r="4">
      <c r="A4" s="227">
        <v>1.0</v>
      </c>
      <c r="B4" s="236" t="s">
        <v>311</v>
      </c>
      <c r="C4" s="66" t="s">
        <v>312</v>
      </c>
      <c r="D4" s="178" t="s">
        <v>315</v>
      </c>
      <c r="E4" s="237" t="s">
        <v>319</v>
      </c>
      <c r="F4" s="230" t="s">
        <v>35</v>
      </c>
      <c r="G4" s="178">
        <v>2022.0</v>
      </c>
      <c r="H4" s="77" t="s">
        <v>332</v>
      </c>
      <c r="I4" s="77" t="s">
        <v>334</v>
      </c>
      <c r="J4" s="228"/>
    </row>
    <row r="5">
      <c r="A5" s="227">
        <v>2.0</v>
      </c>
      <c r="B5" s="61" t="s">
        <v>335</v>
      </c>
      <c r="C5" s="66" t="s">
        <v>336</v>
      </c>
      <c r="D5" s="178" t="s">
        <v>315</v>
      </c>
      <c r="E5" s="234" t="s">
        <v>108</v>
      </c>
      <c r="F5" s="230" t="s">
        <v>35</v>
      </c>
      <c r="G5" s="178">
        <v>2022.0</v>
      </c>
      <c r="H5" s="77" t="s">
        <v>337</v>
      </c>
      <c r="I5" s="77" t="s">
        <v>338</v>
      </c>
      <c r="J5" s="228"/>
    </row>
    <row r="6">
      <c r="A6" s="227">
        <v>3.0</v>
      </c>
      <c r="B6" s="239" t="s">
        <v>339</v>
      </c>
      <c r="C6" s="66" t="s">
        <v>341</v>
      </c>
      <c r="D6" s="178" t="s">
        <v>46</v>
      </c>
      <c r="E6" s="66" t="s">
        <v>37</v>
      </c>
      <c r="F6" s="230" t="s">
        <v>35</v>
      </c>
      <c r="G6" s="178">
        <v>2022.0</v>
      </c>
      <c r="H6" s="77" t="s">
        <v>342</v>
      </c>
      <c r="I6" s="77" t="s">
        <v>343</v>
      </c>
      <c r="J6" s="228"/>
    </row>
    <row r="7">
      <c r="A7" s="227">
        <v>4.0</v>
      </c>
      <c r="B7" s="61" t="s">
        <v>344</v>
      </c>
      <c r="C7" s="66" t="s">
        <v>345</v>
      </c>
      <c r="D7" s="178" t="s">
        <v>46</v>
      </c>
      <c r="E7" s="66" t="s">
        <v>348</v>
      </c>
      <c r="F7" s="230" t="s">
        <v>35</v>
      </c>
      <c r="G7" s="178">
        <v>2022.0</v>
      </c>
      <c r="H7" s="77" t="s">
        <v>350</v>
      </c>
      <c r="I7" s="77" t="s">
        <v>351</v>
      </c>
      <c r="J7" s="228"/>
    </row>
    <row r="8">
      <c r="A8" s="227">
        <v>5.0</v>
      </c>
      <c r="B8" s="124" t="s">
        <v>354</v>
      </c>
      <c r="C8" s="66" t="s">
        <v>356</v>
      </c>
      <c r="D8" s="178" t="s">
        <v>31</v>
      </c>
      <c r="E8" s="234" t="s">
        <v>108</v>
      </c>
      <c r="F8" s="230" t="s">
        <v>35</v>
      </c>
      <c r="G8" s="178">
        <v>2022.0</v>
      </c>
      <c r="H8" s="77" t="s">
        <v>360</v>
      </c>
      <c r="I8" s="77" t="s">
        <v>362</v>
      </c>
      <c r="J8" s="228"/>
    </row>
    <row r="9">
      <c r="A9" s="227">
        <v>6.0</v>
      </c>
      <c r="B9" s="77" t="s">
        <v>363</v>
      </c>
      <c r="C9" s="66" t="s">
        <v>364</v>
      </c>
      <c r="D9" s="178" t="s">
        <v>46</v>
      </c>
      <c r="E9" s="242" t="s">
        <v>366</v>
      </c>
      <c r="F9" s="230" t="s">
        <v>35</v>
      </c>
      <c r="G9" s="178">
        <v>2022.0</v>
      </c>
      <c r="H9" s="77" t="s">
        <v>372</v>
      </c>
      <c r="I9" s="77" t="s">
        <v>374</v>
      </c>
      <c r="J9" s="228"/>
    </row>
    <row r="10">
      <c r="A10" s="227">
        <v>7.0</v>
      </c>
      <c r="B10" s="61" t="s">
        <v>376</v>
      </c>
      <c r="C10" s="66" t="s">
        <v>377</v>
      </c>
      <c r="D10" s="178" t="s">
        <v>378</v>
      </c>
      <c r="E10" s="178" t="s">
        <v>379</v>
      </c>
      <c r="F10" s="230" t="s">
        <v>35</v>
      </c>
      <c r="G10" s="178">
        <v>2022.0</v>
      </c>
      <c r="H10" s="77" t="s">
        <v>382</v>
      </c>
      <c r="I10" s="77" t="s">
        <v>383</v>
      </c>
      <c r="J10" s="228"/>
    </row>
    <row r="11">
      <c r="A11" s="79">
        <v>8.0</v>
      </c>
      <c r="B11" s="82"/>
      <c r="C11" s="142"/>
      <c r="D11" s="245"/>
      <c r="E11" s="127"/>
      <c r="F11" s="138"/>
      <c r="G11" s="127"/>
      <c r="H11" s="112"/>
      <c r="I11" s="142"/>
      <c r="J11" s="114"/>
    </row>
    <row r="12">
      <c r="A12" s="79">
        <v>9.0</v>
      </c>
      <c r="B12" s="112"/>
      <c r="C12" s="112"/>
      <c r="D12" s="127"/>
      <c r="E12" s="127"/>
      <c r="F12" s="138"/>
      <c r="G12" s="127"/>
      <c r="H12" s="112"/>
      <c r="I12" s="142"/>
      <c r="J12" s="114"/>
    </row>
    <row r="13">
      <c r="A13" s="79">
        <v>10.0</v>
      </c>
      <c r="B13" s="112"/>
      <c r="C13" s="112"/>
      <c r="D13" s="112"/>
      <c r="E13" s="112"/>
      <c r="F13" s="138"/>
      <c r="G13" s="112"/>
      <c r="H13" s="112"/>
      <c r="I13" s="142"/>
      <c r="J13" s="114"/>
    </row>
    <row r="14">
      <c r="A14" s="79">
        <v>11.0</v>
      </c>
      <c r="B14" s="112"/>
      <c r="C14" s="112"/>
      <c r="D14" s="112"/>
      <c r="E14" s="112"/>
      <c r="F14" s="138"/>
      <c r="G14" s="112"/>
      <c r="H14" s="112"/>
      <c r="I14" s="142"/>
      <c r="J14" s="114"/>
    </row>
    <row r="15">
      <c r="A15" s="153">
        <v>12.0</v>
      </c>
      <c r="B15" s="112"/>
      <c r="C15" s="112"/>
      <c r="D15" s="112"/>
      <c r="E15" s="112"/>
      <c r="F15" s="138"/>
      <c r="G15" s="112"/>
      <c r="H15" s="112"/>
      <c r="I15" s="142"/>
      <c r="J15" s="114"/>
    </row>
    <row r="16">
      <c r="A16" s="160" t="s">
        <v>123</v>
      </c>
      <c r="B16" s="39"/>
      <c r="C16" s="39"/>
      <c r="D16" s="39"/>
      <c r="E16" s="39"/>
      <c r="F16" s="39"/>
      <c r="G16" s="39"/>
      <c r="H16" s="39"/>
      <c r="I16" s="37"/>
      <c r="J16" s="65"/>
    </row>
    <row r="17">
      <c r="A17" s="73" t="s">
        <v>15</v>
      </c>
      <c r="B17" s="73" t="s">
        <v>16</v>
      </c>
      <c r="C17" s="73" t="s">
        <v>17</v>
      </c>
      <c r="D17" s="73" t="s">
        <v>18</v>
      </c>
      <c r="E17" s="73" t="s">
        <v>19</v>
      </c>
      <c r="F17" s="73" t="s">
        <v>20</v>
      </c>
      <c r="G17" s="55" t="s">
        <v>21</v>
      </c>
      <c r="H17" s="55" t="s">
        <v>24</v>
      </c>
      <c r="I17" s="55" t="s">
        <v>25</v>
      </c>
      <c r="J17" s="114"/>
    </row>
    <row r="18">
      <c r="A18" s="79">
        <v>1.0</v>
      </c>
      <c r="B18" s="61" t="s">
        <v>420</v>
      </c>
      <c r="C18" s="66" t="s">
        <v>422</v>
      </c>
      <c r="D18" s="111" t="s">
        <v>169</v>
      </c>
      <c r="E18" s="112"/>
      <c r="F18" s="106" t="s">
        <v>35</v>
      </c>
      <c r="G18" s="127">
        <v>2022.0</v>
      </c>
      <c r="H18" s="77" t="s">
        <v>427</v>
      </c>
      <c r="I18" s="77" t="s">
        <v>428</v>
      </c>
      <c r="J18" s="114"/>
    </row>
    <row r="19">
      <c r="A19" s="79">
        <v>2.0</v>
      </c>
      <c r="B19" s="61" t="s">
        <v>430</v>
      </c>
      <c r="C19" s="66" t="s">
        <v>432</v>
      </c>
      <c r="D19" s="88" t="s">
        <v>433</v>
      </c>
      <c r="E19" s="112"/>
      <c r="F19" s="106" t="s">
        <v>35</v>
      </c>
      <c r="G19" s="127">
        <v>2022.0</v>
      </c>
      <c r="H19" s="77" t="s">
        <v>438</v>
      </c>
      <c r="I19" s="77" t="s">
        <v>439</v>
      </c>
      <c r="J19" s="114"/>
    </row>
    <row r="20">
      <c r="A20" s="79">
        <v>3.0</v>
      </c>
      <c r="B20" s="61" t="s">
        <v>441</v>
      </c>
      <c r="C20" s="66" t="s">
        <v>443</v>
      </c>
      <c r="D20" s="88" t="s">
        <v>46</v>
      </c>
      <c r="E20" s="112"/>
      <c r="F20" s="106" t="s">
        <v>35</v>
      </c>
      <c r="G20" s="127">
        <v>2022.0</v>
      </c>
      <c r="H20" s="77" t="s">
        <v>445</v>
      </c>
      <c r="I20" s="77" t="s">
        <v>446</v>
      </c>
      <c r="J20" s="114"/>
    </row>
    <row r="21">
      <c r="A21" s="79">
        <v>4.0</v>
      </c>
      <c r="B21" s="61" t="s">
        <v>447</v>
      </c>
      <c r="C21" s="66" t="s">
        <v>448</v>
      </c>
      <c r="D21" s="71" t="s">
        <v>169</v>
      </c>
      <c r="E21" s="246"/>
      <c r="F21" s="106" t="s">
        <v>35</v>
      </c>
      <c r="G21" s="247">
        <v>2022.0</v>
      </c>
      <c r="H21" s="77" t="s">
        <v>450</v>
      </c>
      <c r="I21" s="77" t="s">
        <v>451</v>
      </c>
      <c r="J21" s="248"/>
    </row>
    <row r="22">
      <c r="A22" s="79">
        <v>5.0</v>
      </c>
      <c r="B22" s="61" t="s">
        <v>454</v>
      </c>
      <c r="C22" s="66" t="s">
        <v>455</v>
      </c>
      <c r="D22" s="71" t="s">
        <v>169</v>
      </c>
      <c r="E22" s="246"/>
      <c r="F22" s="106" t="s">
        <v>35</v>
      </c>
      <c r="G22" s="247">
        <v>2022.0</v>
      </c>
      <c r="H22" s="77" t="s">
        <v>458</v>
      </c>
      <c r="I22" s="77" t="s">
        <v>459</v>
      </c>
      <c r="J22" s="248"/>
    </row>
    <row r="23">
      <c r="A23" s="79">
        <v>6.0</v>
      </c>
      <c r="B23" s="61" t="s">
        <v>460</v>
      </c>
      <c r="C23" s="66" t="s">
        <v>461</v>
      </c>
      <c r="D23" s="71" t="s">
        <v>169</v>
      </c>
      <c r="E23" s="250" t="s">
        <v>462</v>
      </c>
      <c r="F23" s="230" t="s">
        <v>35</v>
      </c>
      <c r="G23" s="251">
        <v>2022.0</v>
      </c>
      <c r="H23" s="77" t="s">
        <v>464</v>
      </c>
      <c r="I23" s="250" t="s">
        <v>403</v>
      </c>
      <c r="J23" s="252"/>
    </row>
    <row r="24">
      <c r="A24" s="195">
        <v>7.0</v>
      </c>
      <c r="B24" s="253" t="s">
        <v>465</v>
      </c>
      <c r="C24" s="253" t="s">
        <v>468</v>
      </c>
      <c r="D24" s="255" t="s">
        <v>43</v>
      </c>
      <c r="E24" s="257"/>
      <c r="F24" s="204" t="s">
        <v>35</v>
      </c>
      <c r="G24" s="260">
        <v>2022.0</v>
      </c>
      <c r="H24" s="261" t="s">
        <v>472</v>
      </c>
      <c r="I24" s="207" t="s">
        <v>62</v>
      </c>
      <c r="J24" s="263"/>
    </row>
    <row r="25">
      <c r="A25" s="195">
        <v>8.0</v>
      </c>
      <c r="B25" s="253" t="s">
        <v>476</v>
      </c>
      <c r="C25" s="253" t="s">
        <v>468</v>
      </c>
      <c r="D25" s="255" t="s">
        <v>43</v>
      </c>
      <c r="E25" s="257"/>
      <c r="F25" s="204" t="s">
        <v>35</v>
      </c>
      <c r="G25" s="260">
        <v>2022.0</v>
      </c>
      <c r="H25" s="261" t="s">
        <v>477</v>
      </c>
      <c r="I25" s="207" t="s">
        <v>62</v>
      </c>
      <c r="J25" s="263"/>
    </row>
    <row r="26">
      <c r="A26" s="195">
        <v>9.0</v>
      </c>
      <c r="B26" s="253" t="s">
        <v>478</v>
      </c>
      <c r="C26" s="253" t="s">
        <v>468</v>
      </c>
      <c r="D26" s="255" t="s">
        <v>43</v>
      </c>
      <c r="E26" s="257"/>
      <c r="F26" s="204" t="s">
        <v>35</v>
      </c>
      <c r="G26" s="260">
        <v>2022.0</v>
      </c>
      <c r="H26" s="261" t="s">
        <v>479</v>
      </c>
      <c r="I26" s="207" t="s">
        <v>62</v>
      </c>
      <c r="J26" s="263"/>
    </row>
    <row r="27">
      <c r="A27" s="195">
        <v>10.0</v>
      </c>
      <c r="B27" s="253" t="s">
        <v>480</v>
      </c>
      <c r="C27" s="253" t="s">
        <v>468</v>
      </c>
      <c r="D27" s="255" t="s">
        <v>43</v>
      </c>
      <c r="E27" s="257"/>
      <c r="F27" s="204" t="s">
        <v>35</v>
      </c>
      <c r="G27" s="260">
        <v>2022.0</v>
      </c>
      <c r="H27" s="261" t="s">
        <v>481</v>
      </c>
      <c r="I27" s="207" t="s">
        <v>62</v>
      </c>
      <c r="J27" s="263"/>
    </row>
    <row r="28">
      <c r="A28" s="195">
        <v>11.0</v>
      </c>
      <c r="B28" s="253" t="s">
        <v>480</v>
      </c>
      <c r="C28" s="253" t="s">
        <v>468</v>
      </c>
      <c r="D28" s="255" t="s">
        <v>43</v>
      </c>
      <c r="E28" s="257"/>
      <c r="F28" s="204" t="s">
        <v>35</v>
      </c>
      <c r="G28" s="260">
        <v>2022.0</v>
      </c>
      <c r="H28" s="261" t="s">
        <v>482</v>
      </c>
      <c r="I28" s="207" t="s">
        <v>62</v>
      </c>
      <c r="J28" s="263"/>
    </row>
    <row r="29">
      <c r="A29" s="195">
        <v>12.0</v>
      </c>
      <c r="B29" s="253" t="s">
        <v>483</v>
      </c>
      <c r="C29" s="253" t="s">
        <v>468</v>
      </c>
      <c r="D29" s="255" t="s">
        <v>43</v>
      </c>
      <c r="E29" s="257"/>
      <c r="F29" s="204" t="s">
        <v>35</v>
      </c>
      <c r="G29" s="260">
        <v>2022.0</v>
      </c>
      <c r="H29" s="261" t="s">
        <v>484</v>
      </c>
      <c r="I29" s="207" t="s">
        <v>62</v>
      </c>
      <c r="J29" s="263"/>
    </row>
    <row r="30">
      <c r="A30" s="268">
        <v>13.0</v>
      </c>
      <c r="B30" s="253" t="s">
        <v>485</v>
      </c>
      <c r="C30" s="253" t="s">
        <v>468</v>
      </c>
      <c r="D30" s="255" t="s">
        <v>43</v>
      </c>
      <c r="E30" s="257"/>
      <c r="F30" s="204" t="s">
        <v>35</v>
      </c>
      <c r="G30" s="260">
        <v>2022.0</v>
      </c>
      <c r="H30" s="261" t="s">
        <v>486</v>
      </c>
      <c r="I30" s="207" t="s">
        <v>62</v>
      </c>
      <c r="J30" s="263"/>
    </row>
    <row r="31">
      <c r="A31" s="268">
        <v>14.0</v>
      </c>
      <c r="B31" s="253" t="s">
        <v>487</v>
      </c>
      <c r="C31" s="253" t="s">
        <v>488</v>
      </c>
      <c r="D31" s="255" t="s">
        <v>43</v>
      </c>
      <c r="E31" s="257"/>
      <c r="F31" s="204" t="s">
        <v>35</v>
      </c>
      <c r="G31" s="260">
        <v>2022.0</v>
      </c>
      <c r="H31" s="261" t="s">
        <v>489</v>
      </c>
      <c r="I31" s="207" t="s">
        <v>62</v>
      </c>
      <c r="J31" s="263"/>
    </row>
    <row r="32">
      <c r="A32" s="210">
        <v>15.0</v>
      </c>
      <c r="B32" s="170" t="s">
        <v>490</v>
      </c>
      <c r="C32" s="170" t="s">
        <v>491</v>
      </c>
      <c r="D32" s="71" t="s">
        <v>205</v>
      </c>
      <c r="E32" s="246"/>
      <c r="F32" s="106" t="s">
        <v>35</v>
      </c>
      <c r="G32" s="247">
        <v>2022.0</v>
      </c>
      <c r="H32" s="270" t="s">
        <v>492</v>
      </c>
      <c r="I32" s="272" t="s">
        <v>494</v>
      </c>
      <c r="J32" s="248"/>
    </row>
    <row r="33">
      <c r="A33" s="210">
        <v>16.0</v>
      </c>
      <c r="B33" s="170" t="s">
        <v>495</v>
      </c>
      <c r="C33" s="170" t="s">
        <v>496</v>
      </c>
      <c r="D33" s="71" t="s">
        <v>497</v>
      </c>
      <c r="E33" s="246"/>
      <c r="F33" s="106" t="s">
        <v>35</v>
      </c>
      <c r="G33" s="247">
        <v>2022.0</v>
      </c>
      <c r="H33" s="270" t="s">
        <v>499</v>
      </c>
      <c r="I33" s="272" t="s">
        <v>500</v>
      </c>
      <c r="J33" s="248"/>
    </row>
    <row r="34">
      <c r="A34" s="210">
        <v>17.0</v>
      </c>
      <c r="B34" s="170" t="s">
        <v>501</v>
      </c>
      <c r="C34" s="170" t="s">
        <v>502</v>
      </c>
      <c r="D34" s="71" t="s">
        <v>31</v>
      </c>
      <c r="E34" s="246"/>
      <c r="F34" s="106" t="s">
        <v>35</v>
      </c>
      <c r="G34" s="247">
        <v>2022.0</v>
      </c>
      <c r="H34" s="270" t="s">
        <v>504</v>
      </c>
      <c r="I34" s="272" t="s">
        <v>505</v>
      </c>
      <c r="J34" s="248"/>
    </row>
    <row r="35">
      <c r="A35" s="153">
        <v>18.0</v>
      </c>
      <c r="B35" s="165" t="s">
        <v>506</v>
      </c>
      <c r="C35" s="165" t="s">
        <v>507</v>
      </c>
      <c r="D35" s="71" t="s">
        <v>205</v>
      </c>
      <c r="E35" s="112"/>
      <c r="F35" s="106" t="s">
        <v>35</v>
      </c>
      <c r="G35" s="127">
        <v>2022.0</v>
      </c>
      <c r="H35" s="175" t="s">
        <v>508</v>
      </c>
      <c r="I35" s="176" t="s">
        <v>509</v>
      </c>
      <c r="J35" s="114"/>
    </row>
    <row r="36">
      <c r="A36" s="160" t="s">
        <v>251</v>
      </c>
      <c r="B36" s="39"/>
      <c r="C36" s="39"/>
      <c r="D36" s="39"/>
      <c r="E36" s="39"/>
      <c r="F36" s="39"/>
      <c r="G36" s="39"/>
      <c r="H36" s="39"/>
      <c r="I36" s="37"/>
      <c r="J36" s="65"/>
    </row>
    <row r="37">
      <c r="A37" s="73" t="s">
        <v>15</v>
      </c>
      <c r="B37" s="73" t="s">
        <v>16</v>
      </c>
      <c r="C37" s="73" t="s">
        <v>17</v>
      </c>
      <c r="D37" s="73" t="s">
        <v>18</v>
      </c>
      <c r="E37" s="73" t="s">
        <v>19</v>
      </c>
      <c r="F37" s="73" t="s">
        <v>20</v>
      </c>
      <c r="G37" s="55" t="s">
        <v>21</v>
      </c>
      <c r="H37" s="55" t="s">
        <v>24</v>
      </c>
      <c r="I37" s="55" t="s">
        <v>25</v>
      </c>
      <c r="J37" s="114"/>
    </row>
    <row r="38">
      <c r="A38" s="79">
        <v>1.0</v>
      </c>
      <c r="B38" s="142"/>
      <c r="C38" s="142"/>
      <c r="D38" s="142"/>
      <c r="E38" s="142"/>
      <c r="F38" s="142"/>
      <c r="G38" s="142"/>
      <c r="H38" s="142"/>
      <c r="I38" s="142"/>
      <c r="J38" s="114"/>
    </row>
    <row r="39">
      <c r="A39" s="79">
        <v>2.0</v>
      </c>
      <c r="B39" s="142"/>
      <c r="C39" s="142"/>
      <c r="D39" s="142"/>
      <c r="E39" s="142"/>
      <c r="F39" s="142"/>
      <c r="G39" s="142"/>
      <c r="H39" s="142"/>
      <c r="I39" s="142"/>
      <c r="J39" s="114"/>
    </row>
    <row r="40">
      <c r="A40" s="79">
        <v>3.0</v>
      </c>
      <c r="B40" s="142"/>
      <c r="C40" s="142"/>
      <c r="D40" s="142"/>
      <c r="E40" s="142"/>
      <c r="F40" s="142"/>
      <c r="G40" s="142"/>
      <c r="H40" s="142"/>
      <c r="I40" s="142"/>
      <c r="J40" s="114"/>
    </row>
    <row r="41">
      <c r="A41" s="79">
        <v>4.0</v>
      </c>
      <c r="B41" s="142"/>
      <c r="C41" s="142"/>
      <c r="D41" s="142"/>
      <c r="E41" s="142"/>
      <c r="F41" s="142"/>
      <c r="G41" s="142"/>
      <c r="H41" s="142"/>
      <c r="I41" s="142"/>
      <c r="J41" s="114"/>
    </row>
    <row r="42">
      <c r="A42" s="79">
        <v>5.0</v>
      </c>
      <c r="B42" s="142"/>
      <c r="C42" s="142"/>
      <c r="D42" s="142"/>
      <c r="E42" s="142"/>
      <c r="F42" s="142"/>
      <c r="G42" s="142"/>
      <c r="H42" s="142"/>
      <c r="I42" s="142"/>
      <c r="J42" s="114"/>
    </row>
    <row r="43">
      <c r="A43" s="79">
        <v>6.0</v>
      </c>
      <c r="B43" s="142"/>
      <c r="C43" s="142"/>
      <c r="D43" s="142"/>
      <c r="E43" s="142"/>
      <c r="F43" s="142"/>
      <c r="G43" s="142"/>
      <c r="H43" s="142"/>
      <c r="I43" s="142"/>
      <c r="J43" s="114"/>
    </row>
    <row r="44">
      <c r="A44" s="79">
        <v>7.0</v>
      </c>
      <c r="B44" s="142"/>
      <c r="C44" s="142"/>
      <c r="D44" s="142"/>
      <c r="E44" s="142"/>
      <c r="F44" s="142"/>
      <c r="G44" s="142"/>
      <c r="H44" s="142"/>
      <c r="I44" s="142"/>
      <c r="J44" s="114"/>
    </row>
    <row r="45">
      <c r="A45" s="79">
        <v>8.0</v>
      </c>
      <c r="B45" s="142"/>
      <c r="C45" s="142"/>
      <c r="D45" s="142"/>
      <c r="E45" s="142"/>
      <c r="F45" s="142"/>
      <c r="G45" s="142"/>
      <c r="H45" s="142"/>
      <c r="I45" s="142"/>
      <c r="J45" s="114"/>
    </row>
    <row r="46">
      <c r="A46" s="79">
        <v>9.0</v>
      </c>
      <c r="B46" s="142"/>
      <c r="C46" s="142"/>
      <c r="D46" s="142"/>
      <c r="E46" s="142"/>
      <c r="F46" s="142"/>
      <c r="G46" s="142"/>
      <c r="H46" s="142"/>
      <c r="I46" s="142"/>
      <c r="J46" s="114"/>
    </row>
    <row r="47">
      <c r="A47" s="79">
        <v>10.0</v>
      </c>
      <c r="B47" s="142"/>
      <c r="C47" s="142"/>
      <c r="D47" s="142"/>
      <c r="E47" s="142"/>
      <c r="F47" s="142"/>
      <c r="G47" s="142"/>
      <c r="H47" s="142"/>
      <c r="I47" s="142"/>
      <c r="J47" s="114"/>
    </row>
    <row r="48">
      <c r="A48" s="79">
        <v>11.0</v>
      </c>
      <c r="B48" s="142"/>
      <c r="C48" s="142"/>
      <c r="D48" s="142"/>
      <c r="E48" s="142"/>
      <c r="F48" s="142"/>
      <c r="G48" s="142"/>
      <c r="H48" s="142"/>
      <c r="I48" s="142"/>
      <c r="J48" s="114"/>
    </row>
    <row r="49">
      <c r="A49" s="79">
        <v>12.0</v>
      </c>
      <c r="B49" s="142"/>
      <c r="C49" s="142"/>
      <c r="D49" s="142"/>
      <c r="E49" s="142"/>
      <c r="F49" s="142"/>
      <c r="G49" s="142"/>
      <c r="H49" s="142"/>
      <c r="I49" s="142"/>
      <c r="J49" s="114"/>
    </row>
    <row r="50">
      <c r="A50" s="153">
        <v>13.0</v>
      </c>
      <c r="B50" s="142"/>
      <c r="C50" s="142"/>
      <c r="D50" s="142"/>
      <c r="E50" s="142"/>
      <c r="F50" s="142"/>
      <c r="G50" s="142"/>
      <c r="H50" s="142"/>
      <c r="I50" s="142"/>
      <c r="J50" s="114"/>
    </row>
    <row r="51">
      <c r="A51" s="258"/>
      <c r="B51" s="39"/>
      <c r="C51" s="39"/>
      <c r="D51" s="39"/>
      <c r="E51" s="39"/>
      <c r="F51" s="39"/>
      <c r="G51" s="39"/>
      <c r="H51" s="39"/>
      <c r="I51" s="39"/>
      <c r="J51" s="37"/>
    </row>
  </sheetData>
  <mergeCells count="5">
    <mergeCell ref="A1:J1"/>
    <mergeCell ref="A2:I2"/>
    <mergeCell ref="A16:I16"/>
    <mergeCell ref="A36:I36"/>
    <mergeCell ref="A51:J51"/>
  </mergeCells>
  <dataValidations>
    <dataValidation type="list" allowBlank="1" showErrorMessage="1" sqref="F4:F10 F18:F35">
      <formula1>"Acompanhamento na revista,Registro concedido,Aguardando Deposito"</formula1>
    </dataValidation>
  </dataValidations>
  <hyperlinks>
    <hyperlink r:id="rId1" ref="E4"/>
    <hyperlink r:id="rId2" ref="E5"/>
    <hyperlink r:id="rId3" ref="E8"/>
  </hyperlinks>
  <drawing r:id="rId4"/>
  <tableParts count="3"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3.0"/>
    <col customWidth="1" min="5" max="5" width="25.86"/>
    <col customWidth="1" min="6" max="6" width="32.86"/>
    <col customWidth="1" min="7" max="7" width="19.29"/>
    <col customWidth="1" min="8" max="8" width="25.29"/>
    <col customWidth="1" min="9" max="9" width="34.14"/>
  </cols>
  <sheetData>
    <row r="1" ht="79.5" customHeight="1">
      <c r="A1" s="47" t="s">
        <v>325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59" t="s">
        <v>13</v>
      </c>
      <c r="B2" s="39"/>
      <c r="C2" s="39"/>
      <c r="D2" s="39"/>
      <c r="E2" s="39"/>
      <c r="F2" s="39"/>
      <c r="G2" s="39"/>
      <c r="H2" s="39"/>
      <c r="I2" s="37"/>
      <c r="J2" s="238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40"/>
    </row>
    <row r="4">
      <c r="A4" s="227">
        <v>1.0</v>
      </c>
      <c r="B4" s="123" t="s">
        <v>346</v>
      </c>
      <c r="C4" s="123" t="s">
        <v>349</v>
      </c>
      <c r="D4" s="158" t="s">
        <v>43</v>
      </c>
      <c r="E4" s="244" t="s">
        <v>355</v>
      </c>
      <c r="F4" s="230" t="s">
        <v>35</v>
      </c>
      <c r="G4" s="158">
        <v>2021.0</v>
      </c>
      <c r="H4" s="113" t="s">
        <v>386</v>
      </c>
      <c r="I4" s="113" t="s">
        <v>389</v>
      </c>
      <c r="J4" s="225"/>
    </row>
    <row r="5">
      <c r="A5" s="227">
        <v>2.0</v>
      </c>
      <c r="B5" s="123" t="s">
        <v>391</v>
      </c>
      <c r="C5" s="123" t="s">
        <v>394</v>
      </c>
      <c r="D5" s="158" t="s">
        <v>43</v>
      </c>
      <c r="E5" s="172" t="s">
        <v>397</v>
      </c>
      <c r="F5" s="230" t="s">
        <v>35</v>
      </c>
      <c r="G5" s="158">
        <v>2021.0</v>
      </c>
      <c r="H5" s="113" t="s">
        <v>410</v>
      </c>
      <c r="I5" s="113" t="s">
        <v>411</v>
      </c>
      <c r="J5" s="225"/>
    </row>
    <row r="6">
      <c r="A6" s="227">
        <v>3.0</v>
      </c>
      <c r="B6" s="123" t="s">
        <v>414</v>
      </c>
      <c r="C6" s="123" t="s">
        <v>415</v>
      </c>
      <c r="D6" s="158" t="s">
        <v>378</v>
      </c>
      <c r="E6" s="172" t="s">
        <v>418</v>
      </c>
      <c r="F6" s="230" t="s">
        <v>35</v>
      </c>
      <c r="G6" s="158">
        <v>2021.0</v>
      </c>
      <c r="H6" s="113" t="s">
        <v>434</v>
      </c>
      <c r="I6" s="113" t="s">
        <v>436</v>
      </c>
      <c r="J6" s="225"/>
    </row>
    <row r="7">
      <c r="A7" s="227">
        <v>4.0</v>
      </c>
      <c r="B7" s="123" t="s">
        <v>440</v>
      </c>
      <c r="C7" s="123" t="s">
        <v>442</v>
      </c>
      <c r="D7" s="158" t="s">
        <v>66</v>
      </c>
      <c r="E7" s="172" t="s">
        <v>444</v>
      </c>
      <c r="F7" s="230" t="s">
        <v>35</v>
      </c>
      <c r="G7" s="158">
        <v>2021.0</v>
      </c>
      <c r="H7" s="113" t="s">
        <v>452</v>
      </c>
      <c r="I7" s="113" t="s">
        <v>453</v>
      </c>
      <c r="J7" s="225"/>
    </row>
    <row r="8">
      <c r="A8" s="227">
        <v>5.0</v>
      </c>
      <c r="B8" s="123" t="s">
        <v>456</v>
      </c>
      <c r="C8" s="249" t="s">
        <v>457</v>
      </c>
      <c r="D8" s="158" t="s">
        <v>46</v>
      </c>
      <c r="E8" s="163" t="s">
        <v>463</v>
      </c>
      <c r="F8" s="230" t="s">
        <v>35</v>
      </c>
      <c r="G8" s="158">
        <v>2021.0</v>
      </c>
      <c r="H8" s="113" t="s">
        <v>466</v>
      </c>
      <c r="I8" s="217" t="s">
        <v>467</v>
      </c>
      <c r="J8" s="254" t="s">
        <v>76</v>
      </c>
    </row>
    <row r="9">
      <c r="A9" s="227">
        <v>6.0</v>
      </c>
      <c r="B9" s="256" t="s">
        <v>469</v>
      </c>
      <c r="C9" s="123" t="s">
        <v>470</v>
      </c>
      <c r="D9" s="259" t="s">
        <v>31</v>
      </c>
      <c r="E9" s="172" t="s">
        <v>471</v>
      </c>
      <c r="F9" s="230" t="s">
        <v>35</v>
      </c>
      <c r="G9" s="158">
        <v>2021.0</v>
      </c>
      <c r="H9" s="113" t="s">
        <v>473</v>
      </c>
      <c r="I9" s="262" t="s">
        <v>474</v>
      </c>
      <c r="J9" s="254" t="s">
        <v>76</v>
      </c>
    </row>
    <row r="10">
      <c r="A10" s="79">
        <v>7.0</v>
      </c>
      <c r="B10" s="115"/>
      <c r="C10" s="264"/>
      <c r="D10" s="264"/>
      <c r="E10" s="265"/>
      <c r="F10" s="115"/>
      <c r="G10" s="264"/>
      <c r="H10" s="218"/>
      <c r="I10" s="218"/>
      <c r="J10" s="266"/>
    </row>
    <row r="11">
      <c r="A11" s="79">
        <v>8.0</v>
      </c>
      <c r="B11" s="115"/>
      <c r="C11" s="115"/>
      <c r="D11" s="264"/>
      <c r="E11" s="115"/>
      <c r="F11" s="115"/>
      <c r="G11" s="264"/>
      <c r="H11" s="115"/>
      <c r="I11" s="267"/>
      <c r="J11" s="266"/>
    </row>
    <row r="12">
      <c r="A12" s="79">
        <v>9.0</v>
      </c>
      <c r="B12" s="115"/>
      <c r="C12" s="115"/>
      <c r="D12" s="264"/>
      <c r="E12" s="115"/>
      <c r="F12" s="115"/>
      <c r="G12" s="115"/>
      <c r="H12" s="115"/>
      <c r="I12" s="267"/>
      <c r="J12" s="266"/>
    </row>
    <row r="13">
      <c r="A13" s="153">
        <v>10.0</v>
      </c>
      <c r="B13" s="115"/>
      <c r="C13" s="115"/>
      <c r="D13" s="115"/>
      <c r="E13" s="115"/>
      <c r="F13" s="115"/>
      <c r="G13" s="115"/>
      <c r="H13" s="115"/>
      <c r="I13" s="267"/>
      <c r="J13" s="266"/>
    </row>
    <row r="14">
      <c r="A14" s="160" t="s">
        <v>123</v>
      </c>
      <c r="B14" s="39"/>
      <c r="C14" s="39"/>
      <c r="D14" s="39"/>
      <c r="E14" s="39"/>
      <c r="F14" s="39"/>
      <c r="G14" s="39"/>
      <c r="H14" s="39"/>
      <c r="I14" s="37"/>
      <c r="J14" s="238"/>
    </row>
    <row r="15">
      <c r="A15" s="73" t="s">
        <v>15</v>
      </c>
      <c r="B15" s="73" t="s">
        <v>16</v>
      </c>
      <c r="C15" s="73" t="s">
        <v>17</v>
      </c>
      <c r="D15" s="73" t="s">
        <v>18</v>
      </c>
      <c r="E15" s="73" t="s">
        <v>19</v>
      </c>
      <c r="F15" s="73" t="s">
        <v>20</v>
      </c>
      <c r="G15" s="55" t="s">
        <v>21</v>
      </c>
      <c r="H15" s="55" t="s">
        <v>24</v>
      </c>
      <c r="I15" s="55" t="s">
        <v>25</v>
      </c>
      <c r="J15" s="240"/>
    </row>
    <row r="16">
      <c r="A16" s="79"/>
      <c r="B16" s="187" t="s">
        <v>493</v>
      </c>
      <c r="C16" s="123"/>
      <c r="D16" s="136" t="s">
        <v>169</v>
      </c>
      <c r="E16" s="273" t="s">
        <v>498</v>
      </c>
      <c r="F16" s="138" t="s">
        <v>147</v>
      </c>
      <c r="G16" s="136">
        <v>2021.0</v>
      </c>
      <c r="H16" s="123" t="s">
        <v>510</v>
      </c>
      <c r="I16" s="113" t="s">
        <v>511</v>
      </c>
      <c r="J16" s="274"/>
    </row>
    <row r="17">
      <c r="A17" s="79">
        <v>2.0</v>
      </c>
      <c r="B17" s="187" t="s">
        <v>512</v>
      </c>
      <c r="C17" s="123" t="s">
        <v>513</v>
      </c>
      <c r="D17" s="136" t="s">
        <v>497</v>
      </c>
      <c r="E17" s="96" t="s">
        <v>514</v>
      </c>
      <c r="F17" s="138" t="s">
        <v>147</v>
      </c>
      <c r="G17" s="136">
        <v>2021.0</v>
      </c>
      <c r="H17" s="123" t="s">
        <v>515</v>
      </c>
      <c r="I17" s="113" t="s">
        <v>516</v>
      </c>
      <c r="J17" s="274"/>
    </row>
    <row r="18">
      <c r="A18" s="79">
        <v>3.0</v>
      </c>
      <c r="B18" s="187" t="s">
        <v>517</v>
      </c>
      <c r="C18" s="123" t="s">
        <v>518</v>
      </c>
      <c r="D18" s="136" t="s">
        <v>169</v>
      </c>
      <c r="E18" s="96" t="s">
        <v>519</v>
      </c>
      <c r="F18" s="138" t="s">
        <v>147</v>
      </c>
      <c r="G18" s="136">
        <v>2021.0</v>
      </c>
      <c r="H18" s="123" t="s">
        <v>522</v>
      </c>
      <c r="I18" s="113" t="s">
        <v>523</v>
      </c>
      <c r="J18" s="274"/>
    </row>
    <row r="19">
      <c r="A19" s="79">
        <v>4.0</v>
      </c>
      <c r="B19" s="167" t="s">
        <v>524</v>
      </c>
      <c r="C19" s="167" t="s">
        <v>526</v>
      </c>
      <c r="D19" s="136" t="s">
        <v>169</v>
      </c>
      <c r="E19" s="273" t="s">
        <v>527</v>
      </c>
      <c r="F19" s="138" t="s">
        <v>147</v>
      </c>
      <c r="G19" s="136">
        <v>2021.0</v>
      </c>
      <c r="H19" s="275" t="s">
        <v>528</v>
      </c>
      <c r="I19" s="276" t="s">
        <v>529</v>
      </c>
      <c r="J19" s="274"/>
    </row>
    <row r="20">
      <c r="A20" s="79">
        <v>5.0</v>
      </c>
      <c r="B20" s="167" t="s">
        <v>530</v>
      </c>
      <c r="C20" s="188" t="s">
        <v>531</v>
      </c>
      <c r="D20" s="127" t="s">
        <v>299</v>
      </c>
      <c r="E20" s="278" t="s">
        <v>280</v>
      </c>
      <c r="F20" s="138" t="s">
        <v>147</v>
      </c>
      <c r="G20" s="136">
        <v>2021.0</v>
      </c>
      <c r="H20" s="275" t="s">
        <v>532</v>
      </c>
      <c r="I20" s="276" t="s">
        <v>533</v>
      </c>
      <c r="J20" s="274"/>
    </row>
    <row r="21">
      <c r="A21" s="79">
        <v>6.0</v>
      </c>
      <c r="B21" s="167" t="s">
        <v>534</v>
      </c>
      <c r="C21" s="167" t="s">
        <v>535</v>
      </c>
      <c r="D21" s="136" t="s">
        <v>46</v>
      </c>
      <c r="E21" s="96" t="s">
        <v>536</v>
      </c>
      <c r="F21" s="138" t="s">
        <v>147</v>
      </c>
      <c r="G21" s="136">
        <v>2021.0</v>
      </c>
      <c r="H21" s="275" t="s">
        <v>539</v>
      </c>
      <c r="I21" s="276" t="s">
        <v>540</v>
      </c>
      <c r="J21" s="274"/>
    </row>
    <row r="22">
      <c r="A22" s="79">
        <v>7.0</v>
      </c>
      <c r="B22" s="167" t="s">
        <v>541</v>
      </c>
      <c r="C22" s="167" t="s">
        <v>542</v>
      </c>
      <c r="D22" s="136" t="s">
        <v>205</v>
      </c>
      <c r="E22" s="96" t="s">
        <v>543</v>
      </c>
      <c r="F22" s="138" t="s">
        <v>147</v>
      </c>
      <c r="G22" s="136">
        <v>2021.0</v>
      </c>
      <c r="H22" s="275" t="s">
        <v>544</v>
      </c>
      <c r="I22" s="276" t="s">
        <v>545</v>
      </c>
      <c r="J22" s="274"/>
    </row>
    <row r="23">
      <c r="A23" s="79">
        <v>8.0</v>
      </c>
      <c r="B23" s="167" t="s">
        <v>546</v>
      </c>
      <c r="C23" s="167" t="s">
        <v>547</v>
      </c>
      <c r="D23" s="136" t="s">
        <v>205</v>
      </c>
      <c r="E23" s="96" t="s">
        <v>548</v>
      </c>
      <c r="F23" s="138" t="s">
        <v>147</v>
      </c>
      <c r="G23" s="136">
        <v>2021.0</v>
      </c>
      <c r="H23" s="275" t="s">
        <v>549</v>
      </c>
      <c r="I23" s="276" t="s">
        <v>550</v>
      </c>
      <c r="J23" s="274"/>
    </row>
    <row r="24">
      <c r="A24" s="79">
        <v>9.0</v>
      </c>
      <c r="B24" s="167" t="s">
        <v>551</v>
      </c>
      <c r="C24" s="167" t="s">
        <v>552</v>
      </c>
      <c r="D24" s="136" t="s">
        <v>46</v>
      </c>
      <c r="E24" s="283"/>
      <c r="F24" s="138" t="s">
        <v>147</v>
      </c>
      <c r="G24" s="136">
        <v>2021.0</v>
      </c>
      <c r="H24" s="275" t="s">
        <v>554</v>
      </c>
      <c r="I24" s="276" t="s">
        <v>555</v>
      </c>
      <c r="J24" s="274"/>
    </row>
    <row r="25">
      <c r="A25" s="79">
        <v>10.0</v>
      </c>
      <c r="B25" s="66" t="s">
        <v>556</v>
      </c>
      <c r="C25" s="66" t="s">
        <v>461</v>
      </c>
      <c r="D25" s="285" t="s">
        <v>31</v>
      </c>
      <c r="E25" s="96" t="s">
        <v>557</v>
      </c>
      <c r="F25" s="138" t="s">
        <v>147</v>
      </c>
      <c r="G25" s="158">
        <v>2021.0</v>
      </c>
      <c r="H25" s="123" t="s">
        <v>559</v>
      </c>
      <c r="I25" s="287" t="s">
        <v>403</v>
      </c>
      <c r="J25" s="274"/>
    </row>
    <row r="26">
      <c r="A26" s="195">
        <v>11.0</v>
      </c>
      <c r="B26" s="288" t="s">
        <v>562</v>
      </c>
      <c r="C26" s="289" t="s">
        <v>564</v>
      </c>
      <c r="D26" s="290" t="s">
        <v>46</v>
      </c>
      <c r="E26" s="291" t="s">
        <v>565</v>
      </c>
      <c r="F26" s="293" t="s">
        <v>147</v>
      </c>
      <c r="G26" s="290">
        <v>2021.0</v>
      </c>
      <c r="H26" s="288" t="s">
        <v>570</v>
      </c>
      <c r="I26" s="109" t="s">
        <v>62</v>
      </c>
      <c r="J26" s="295"/>
    </row>
    <row r="27">
      <c r="A27" s="79">
        <v>12.0</v>
      </c>
      <c r="B27" s="165" t="s">
        <v>574</v>
      </c>
      <c r="C27" s="165" t="s">
        <v>575</v>
      </c>
      <c r="D27" s="158" t="s">
        <v>46</v>
      </c>
      <c r="E27" s="148" t="s">
        <v>576</v>
      </c>
      <c r="F27" s="293" t="s">
        <v>147</v>
      </c>
      <c r="G27" s="158">
        <v>2021.0</v>
      </c>
      <c r="H27" s="299" t="s">
        <v>579</v>
      </c>
      <c r="I27" s="287" t="s">
        <v>403</v>
      </c>
      <c r="J27" s="274"/>
    </row>
    <row r="28">
      <c r="A28" s="153">
        <v>13.0</v>
      </c>
      <c r="B28" s="301"/>
      <c r="C28" s="148"/>
      <c r="D28" s="148"/>
      <c r="E28" s="148"/>
      <c r="F28" s="138"/>
      <c r="G28" s="148"/>
      <c r="H28" s="148"/>
      <c r="I28" s="225"/>
      <c r="J28" s="274"/>
    </row>
    <row r="29">
      <c r="A29" s="160" t="s">
        <v>251</v>
      </c>
      <c r="B29" s="39"/>
      <c r="C29" s="39"/>
      <c r="D29" s="39"/>
      <c r="E29" s="39"/>
      <c r="F29" s="39"/>
      <c r="G29" s="39"/>
      <c r="H29" s="39"/>
      <c r="I29" s="37"/>
      <c r="J29" s="238"/>
    </row>
    <row r="30">
      <c r="A30" s="73" t="s">
        <v>15</v>
      </c>
      <c r="B30" s="73" t="s">
        <v>16</v>
      </c>
      <c r="C30" s="73" t="s">
        <v>17</v>
      </c>
      <c r="D30" s="73" t="s">
        <v>18</v>
      </c>
      <c r="E30" s="73" t="s">
        <v>19</v>
      </c>
      <c r="F30" s="73" t="s">
        <v>20</v>
      </c>
      <c r="G30" s="55" t="s">
        <v>21</v>
      </c>
      <c r="H30" s="55" t="s">
        <v>24</v>
      </c>
      <c r="I30" s="55" t="s">
        <v>25</v>
      </c>
      <c r="J30" s="240"/>
    </row>
    <row r="31">
      <c r="A31" s="79">
        <v>1.0</v>
      </c>
      <c r="B31" s="140"/>
      <c r="C31" s="140"/>
      <c r="D31" s="140"/>
      <c r="E31" s="140"/>
      <c r="F31" s="140"/>
      <c r="G31" s="140"/>
      <c r="H31" s="140"/>
      <c r="I31" s="225"/>
      <c r="J31" s="274"/>
    </row>
    <row r="32">
      <c r="A32" s="79">
        <v>2.0</v>
      </c>
      <c r="B32" s="140"/>
      <c r="C32" s="140"/>
      <c r="D32" s="140"/>
      <c r="E32" s="140"/>
      <c r="F32" s="140"/>
      <c r="G32" s="140"/>
      <c r="H32" s="140"/>
      <c r="I32" s="225"/>
      <c r="J32" s="274"/>
    </row>
    <row r="33">
      <c r="A33" s="79">
        <v>3.0</v>
      </c>
      <c r="B33" s="140"/>
      <c r="C33" s="140"/>
      <c r="D33" s="140"/>
      <c r="E33" s="140"/>
      <c r="F33" s="140"/>
      <c r="G33" s="140"/>
      <c r="H33" s="140"/>
      <c r="I33" s="225"/>
      <c r="J33" s="274"/>
    </row>
    <row r="34">
      <c r="A34" s="79">
        <v>4.0</v>
      </c>
      <c r="B34" s="140"/>
      <c r="C34" s="140"/>
      <c r="D34" s="140"/>
      <c r="E34" s="140"/>
      <c r="F34" s="140"/>
      <c r="G34" s="140"/>
      <c r="H34" s="140"/>
      <c r="I34" s="225"/>
      <c r="J34" s="274"/>
    </row>
    <row r="35">
      <c r="A35" s="79">
        <v>5.0</v>
      </c>
      <c r="B35" s="140"/>
      <c r="C35" s="140"/>
      <c r="D35" s="140"/>
      <c r="E35" s="140"/>
      <c r="F35" s="140"/>
      <c r="G35" s="140"/>
      <c r="H35" s="140"/>
      <c r="I35" s="225"/>
      <c r="J35" s="274"/>
    </row>
    <row r="36">
      <c r="A36" s="79">
        <v>6.0</v>
      </c>
      <c r="B36" s="140"/>
      <c r="C36" s="140"/>
      <c r="D36" s="140"/>
      <c r="E36" s="140"/>
      <c r="F36" s="140"/>
      <c r="G36" s="140"/>
      <c r="H36" s="140"/>
      <c r="I36" s="225"/>
      <c r="J36" s="274"/>
    </row>
    <row r="37">
      <c r="A37" s="79">
        <v>7.0</v>
      </c>
      <c r="B37" s="140"/>
      <c r="C37" s="140"/>
      <c r="D37" s="140"/>
      <c r="E37" s="140"/>
      <c r="F37" s="140"/>
      <c r="G37" s="140"/>
      <c r="H37" s="140"/>
      <c r="I37" s="225"/>
      <c r="J37" s="274"/>
    </row>
    <row r="38">
      <c r="A38" s="79">
        <v>8.0</v>
      </c>
      <c r="B38" s="140"/>
      <c r="C38" s="140"/>
      <c r="D38" s="140"/>
      <c r="E38" s="140"/>
      <c r="F38" s="140"/>
      <c r="G38" s="140"/>
      <c r="H38" s="140"/>
      <c r="I38" s="225"/>
      <c r="J38" s="274"/>
    </row>
    <row r="39">
      <c r="A39" s="79">
        <v>9.0</v>
      </c>
      <c r="B39" s="140"/>
      <c r="C39" s="140"/>
      <c r="D39" s="140"/>
      <c r="E39" s="140"/>
      <c r="F39" s="140"/>
      <c r="G39" s="140"/>
      <c r="H39" s="140"/>
      <c r="I39" s="225"/>
      <c r="J39" s="274"/>
    </row>
    <row r="40">
      <c r="A40" s="79">
        <v>10.0</v>
      </c>
      <c r="B40" s="140"/>
      <c r="C40" s="140"/>
      <c r="D40" s="140"/>
      <c r="E40" s="140"/>
      <c r="F40" s="140"/>
      <c r="G40" s="140"/>
      <c r="H40" s="140"/>
      <c r="I40" s="225"/>
      <c r="J40" s="274"/>
    </row>
    <row r="41">
      <c r="A41" s="79">
        <v>11.0</v>
      </c>
      <c r="B41" s="140"/>
      <c r="C41" s="140"/>
      <c r="D41" s="140"/>
      <c r="E41" s="140"/>
      <c r="F41" s="140"/>
      <c r="G41" s="140"/>
      <c r="H41" s="140"/>
      <c r="I41" s="225"/>
      <c r="J41" s="274"/>
    </row>
    <row r="42">
      <c r="A42" s="79">
        <v>12.0</v>
      </c>
      <c r="B42" s="140"/>
      <c r="C42" s="140"/>
      <c r="D42" s="140"/>
      <c r="E42" s="140"/>
      <c r="F42" s="140"/>
      <c r="G42" s="140"/>
      <c r="H42" s="140"/>
      <c r="I42" s="225"/>
      <c r="J42" s="274"/>
    </row>
    <row r="43">
      <c r="A43" s="153">
        <v>13.0</v>
      </c>
      <c r="B43" s="140"/>
      <c r="C43" s="140"/>
      <c r="D43" s="140"/>
      <c r="E43" s="140"/>
      <c r="F43" s="140"/>
      <c r="G43" s="140"/>
      <c r="H43" s="140"/>
      <c r="I43" s="225"/>
      <c r="J43" s="274"/>
    </row>
    <row r="44">
      <c r="A44" s="311"/>
      <c r="B44" s="39"/>
      <c r="C44" s="39"/>
      <c r="D44" s="39"/>
      <c r="E44" s="39"/>
      <c r="F44" s="39"/>
      <c r="G44" s="39"/>
      <c r="H44" s="39"/>
      <c r="I44" s="39"/>
      <c r="J44" s="37"/>
    </row>
  </sheetData>
  <mergeCells count="5">
    <mergeCell ref="A1:J1"/>
    <mergeCell ref="A2:I2"/>
    <mergeCell ref="A14:I14"/>
    <mergeCell ref="A29:I29"/>
    <mergeCell ref="A44:J44"/>
  </mergeCells>
  <dataValidations>
    <dataValidation type="list" allowBlank="1" showErrorMessage="1" sqref="F4:F9 F16:F27">
      <formula1>"Acompanhamento na revista,Registro concedido,Aguardando Deposito"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6"/>
    <hyperlink r:id="rId8" ref="E17"/>
    <hyperlink r:id="rId9" ref="E18"/>
    <hyperlink r:id="rId10" ref="E19"/>
    <hyperlink r:id="rId11" ref="E21"/>
    <hyperlink r:id="rId12" ref="E22"/>
    <hyperlink r:id="rId13" ref="E23"/>
    <hyperlink r:id="rId14" ref="E25"/>
    <hyperlink r:id="rId15" ref="H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"/>
  <tableParts count="2">
    <tablePart r:id="rId19"/>
    <tablePart r:id="rId2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19.29"/>
    <col customWidth="1" min="8" max="8" width="25.29"/>
    <col customWidth="1" min="9" max="9" width="26.71"/>
  </cols>
  <sheetData>
    <row r="1" ht="79.5" customHeight="1">
      <c r="A1" s="47" t="s">
        <v>503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59" t="s">
        <v>13</v>
      </c>
      <c r="B2" s="39"/>
      <c r="C2" s="39"/>
      <c r="D2" s="39"/>
      <c r="E2" s="39"/>
      <c r="F2" s="39"/>
      <c r="G2" s="39"/>
      <c r="H2" s="39"/>
      <c r="I2" s="37"/>
      <c r="J2" s="238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40"/>
    </row>
    <row r="4">
      <c r="A4" s="195">
        <v>1.0</v>
      </c>
      <c r="B4" s="108" t="s">
        <v>520</v>
      </c>
      <c r="C4" s="108" t="s">
        <v>521</v>
      </c>
      <c r="D4" s="66" t="s">
        <v>43</v>
      </c>
      <c r="E4" s="277" t="s">
        <v>108</v>
      </c>
      <c r="F4" s="204" t="s">
        <v>35</v>
      </c>
      <c r="G4" s="217">
        <v>2020.0</v>
      </c>
      <c r="H4" s="150" t="s">
        <v>537</v>
      </c>
      <c r="I4" s="150" t="s">
        <v>538</v>
      </c>
      <c r="J4" s="109" t="s">
        <v>76</v>
      </c>
    </row>
    <row r="5">
      <c r="A5" s="79">
        <v>2.0</v>
      </c>
      <c r="B5" s="123"/>
      <c r="C5" s="279"/>
      <c r="D5" s="217"/>
      <c r="E5" s="280"/>
      <c r="F5" s="106"/>
      <c r="G5" s="217"/>
      <c r="H5" s="113"/>
      <c r="I5" s="217"/>
      <c r="J5" s="274"/>
    </row>
    <row r="6">
      <c r="A6" s="79">
        <v>3.0</v>
      </c>
      <c r="B6" s="123"/>
      <c r="C6" s="281"/>
      <c r="D6" s="217"/>
      <c r="E6" s="282"/>
      <c r="F6" s="106"/>
      <c r="G6" s="217"/>
      <c r="H6" s="113"/>
      <c r="I6" s="217"/>
      <c r="J6" s="274"/>
    </row>
    <row r="7">
      <c r="A7" s="79">
        <v>4.0</v>
      </c>
      <c r="B7" s="123"/>
      <c r="C7" s="281"/>
      <c r="D7" s="217"/>
      <c r="E7" s="282"/>
      <c r="F7" s="106"/>
      <c r="G7" s="217"/>
      <c r="H7" s="113"/>
      <c r="I7" s="217"/>
      <c r="J7" s="274"/>
    </row>
    <row r="8">
      <c r="A8" s="79">
        <v>5.0</v>
      </c>
      <c r="B8" s="123"/>
      <c r="C8" s="281"/>
      <c r="D8" s="217"/>
      <c r="E8" s="282"/>
      <c r="F8" s="106"/>
      <c r="G8" s="217"/>
      <c r="H8" s="113"/>
      <c r="I8" s="217"/>
      <c r="J8" s="274"/>
    </row>
    <row r="9">
      <c r="A9" s="79">
        <v>6.0</v>
      </c>
      <c r="B9" s="123"/>
      <c r="C9" s="279"/>
      <c r="D9" s="217"/>
      <c r="E9" s="282"/>
      <c r="F9" s="106"/>
      <c r="G9" s="217"/>
      <c r="H9" s="113"/>
      <c r="I9" s="113"/>
      <c r="J9" s="274"/>
    </row>
    <row r="10">
      <c r="A10" s="79">
        <v>7.0</v>
      </c>
      <c r="B10" s="123"/>
      <c r="C10" s="279"/>
      <c r="D10" s="217"/>
      <c r="E10" s="282"/>
      <c r="F10" s="106"/>
      <c r="G10" s="217"/>
      <c r="H10" s="113"/>
      <c r="I10" s="113"/>
      <c r="J10" s="274"/>
    </row>
    <row r="11">
      <c r="A11" s="79">
        <v>8.0</v>
      </c>
      <c r="B11" s="123"/>
      <c r="C11" s="281"/>
      <c r="D11" s="217"/>
      <c r="E11" s="280"/>
      <c r="F11" s="106"/>
      <c r="G11" s="217"/>
      <c r="H11" s="113"/>
      <c r="I11" s="217"/>
      <c r="J11" s="274"/>
    </row>
    <row r="12">
      <c r="A12" s="79">
        <v>9.0</v>
      </c>
      <c r="B12" s="115"/>
      <c r="C12" s="115"/>
      <c r="D12" s="115"/>
      <c r="E12" s="115"/>
      <c r="F12" s="106"/>
      <c r="G12" s="115"/>
      <c r="H12" s="115"/>
      <c r="I12" s="115"/>
      <c r="J12" s="266"/>
    </row>
    <row r="13">
      <c r="A13" s="79">
        <v>10.0</v>
      </c>
      <c r="B13" s="115"/>
      <c r="C13" s="115"/>
      <c r="D13" s="115"/>
      <c r="E13" s="115"/>
      <c r="F13" s="106"/>
      <c r="G13" s="115"/>
      <c r="H13" s="115"/>
      <c r="I13" s="115"/>
      <c r="J13" s="266"/>
    </row>
    <row r="14">
      <c r="A14" s="79">
        <v>11.0</v>
      </c>
      <c r="B14" s="115"/>
      <c r="C14" s="115"/>
      <c r="D14" s="115"/>
      <c r="E14" s="115"/>
      <c r="F14" s="106"/>
      <c r="G14" s="115"/>
      <c r="H14" s="115"/>
      <c r="I14" s="115"/>
      <c r="J14" s="266"/>
    </row>
    <row r="15">
      <c r="A15" s="79">
        <v>12.0</v>
      </c>
      <c r="B15" s="115"/>
      <c r="C15" s="115"/>
      <c r="D15" s="115"/>
      <c r="E15" s="115"/>
      <c r="F15" s="106"/>
      <c r="G15" s="115"/>
      <c r="H15" s="115"/>
      <c r="I15" s="115"/>
      <c r="J15" s="266"/>
    </row>
    <row r="16">
      <c r="A16" s="153">
        <v>13.0</v>
      </c>
      <c r="B16" s="115"/>
      <c r="C16" s="115"/>
      <c r="D16" s="115"/>
      <c r="E16" s="115"/>
      <c r="F16" s="106"/>
      <c r="G16" s="115"/>
      <c r="H16" s="115"/>
      <c r="I16" s="115"/>
      <c r="J16" s="266"/>
    </row>
    <row r="17">
      <c r="A17" s="160" t="s">
        <v>123</v>
      </c>
      <c r="B17" s="39"/>
      <c r="C17" s="39"/>
      <c r="D17" s="39"/>
      <c r="E17" s="39"/>
      <c r="F17" s="39"/>
      <c r="G17" s="39"/>
      <c r="H17" s="39"/>
      <c r="I17" s="37"/>
      <c r="J17" s="238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40"/>
    </row>
    <row r="19">
      <c r="A19" s="79">
        <v>1.0</v>
      </c>
      <c r="B19" s="66" t="s">
        <v>560</v>
      </c>
      <c r="C19" s="66" t="s">
        <v>561</v>
      </c>
      <c r="D19" s="127" t="s">
        <v>299</v>
      </c>
      <c r="E19" s="292" t="s">
        <v>563</v>
      </c>
      <c r="F19" s="106" t="s">
        <v>147</v>
      </c>
      <c r="G19" s="148">
        <v>2020.0</v>
      </c>
      <c r="H19" s="77" t="s">
        <v>569</v>
      </c>
      <c r="I19" s="77" t="s">
        <v>571</v>
      </c>
      <c r="J19" s="274"/>
    </row>
    <row r="20">
      <c r="A20" s="79">
        <v>2.0</v>
      </c>
      <c r="B20" s="165" t="s">
        <v>572</v>
      </c>
      <c r="C20" s="165" t="s">
        <v>573</v>
      </c>
      <c r="D20" s="296" t="s">
        <v>56</v>
      </c>
      <c r="E20" s="297" t="s">
        <v>577</v>
      </c>
      <c r="F20" s="106" t="s">
        <v>147</v>
      </c>
      <c r="G20" s="148">
        <v>2020.0</v>
      </c>
      <c r="H20" s="175" t="s">
        <v>584</v>
      </c>
      <c r="I20" s="185" t="s">
        <v>403</v>
      </c>
      <c r="J20" s="274"/>
    </row>
    <row r="21">
      <c r="A21" s="79">
        <v>3.0</v>
      </c>
      <c r="B21" s="165" t="s">
        <v>585</v>
      </c>
      <c r="C21" s="243" t="s">
        <v>573</v>
      </c>
      <c r="D21" s="296" t="s">
        <v>56</v>
      </c>
      <c r="E21" s="297" t="s">
        <v>587</v>
      </c>
      <c r="F21" s="106" t="s">
        <v>147</v>
      </c>
      <c r="G21" s="148">
        <v>2020.0</v>
      </c>
      <c r="H21" s="175" t="s">
        <v>588</v>
      </c>
      <c r="I21" s="185" t="s">
        <v>403</v>
      </c>
      <c r="J21" s="274"/>
    </row>
    <row r="22">
      <c r="A22" s="79">
        <v>4.0</v>
      </c>
      <c r="B22" s="165" t="s">
        <v>590</v>
      </c>
      <c r="C22" s="165" t="s">
        <v>573</v>
      </c>
      <c r="D22" s="296" t="s">
        <v>56</v>
      </c>
      <c r="E22" s="297" t="s">
        <v>594</v>
      </c>
      <c r="F22" s="106" t="s">
        <v>147</v>
      </c>
      <c r="G22" s="148">
        <v>2020.0</v>
      </c>
      <c r="H22" s="175" t="s">
        <v>595</v>
      </c>
      <c r="I22" s="185" t="s">
        <v>403</v>
      </c>
      <c r="J22" s="274"/>
    </row>
    <row r="23">
      <c r="A23" s="79">
        <v>5.0</v>
      </c>
      <c r="B23" s="165" t="s">
        <v>596</v>
      </c>
      <c r="C23" s="165" t="s">
        <v>597</v>
      </c>
      <c r="D23" s="165" t="s">
        <v>205</v>
      </c>
      <c r="E23" s="96" t="s">
        <v>599</v>
      </c>
      <c r="F23" s="106" t="s">
        <v>147</v>
      </c>
      <c r="G23" s="148">
        <v>2020.0</v>
      </c>
      <c r="H23" s="175" t="s">
        <v>604</v>
      </c>
      <c r="I23" s="185" t="s">
        <v>403</v>
      </c>
      <c r="J23" s="274"/>
    </row>
    <row r="24">
      <c r="A24" s="79">
        <v>6.0</v>
      </c>
      <c r="B24" s="165" t="s">
        <v>605</v>
      </c>
      <c r="C24" s="165" t="s">
        <v>608</v>
      </c>
      <c r="D24" s="165" t="s">
        <v>205</v>
      </c>
      <c r="E24" s="292" t="s">
        <v>609</v>
      </c>
      <c r="F24" s="106" t="s">
        <v>147</v>
      </c>
      <c r="G24" s="148">
        <v>2020.0</v>
      </c>
      <c r="H24" s="175" t="s">
        <v>611</v>
      </c>
      <c r="I24" s="185" t="s">
        <v>403</v>
      </c>
      <c r="J24" s="274"/>
    </row>
    <row r="25">
      <c r="A25" s="79">
        <v>7.0</v>
      </c>
      <c r="B25" s="165" t="s">
        <v>612</v>
      </c>
      <c r="C25" s="165" t="s">
        <v>613</v>
      </c>
      <c r="D25" s="296" t="s">
        <v>46</v>
      </c>
      <c r="E25" s="96" t="s">
        <v>614</v>
      </c>
      <c r="F25" s="106" t="s">
        <v>147</v>
      </c>
      <c r="G25" s="148">
        <v>2020.0</v>
      </c>
      <c r="H25" s="175" t="s">
        <v>615</v>
      </c>
      <c r="I25" s="185" t="s">
        <v>403</v>
      </c>
      <c r="J25" s="274"/>
    </row>
    <row r="26">
      <c r="A26" s="79">
        <v>8.0</v>
      </c>
      <c r="B26" s="66" t="s">
        <v>490</v>
      </c>
      <c r="C26" s="66" t="s">
        <v>491</v>
      </c>
      <c r="D26" s="165" t="s">
        <v>205</v>
      </c>
      <c r="E26" s="96" t="s">
        <v>616</v>
      </c>
      <c r="F26" s="106" t="s">
        <v>147</v>
      </c>
      <c r="G26" s="148">
        <v>2020.0</v>
      </c>
      <c r="H26" s="77" t="s">
        <v>492</v>
      </c>
      <c r="I26" s="77" t="s">
        <v>494</v>
      </c>
      <c r="J26" s="274"/>
    </row>
    <row r="27">
      <c r="A27" s="79">
        <v>9.0</v>
      </c>
      <c r="B27" s="309"/>
      <c r="C27" s="148"/>
      <c r="D27" s="217"/>
      <c r="E27" s="148"/>
      <c r="F27" s="106"/>
      <c r="G27" s="148"/>
      <c r="H27" s="217"/>
      <c r="I27" s="225"/>
      <c r="J27" s="274"/>
    </row>
    <row r="28">
      <c r="A28" s="79">
        <v>10.0</v>
      </c>
      <c r="B28" s="301"/>
      <c r="C28" s="148"/>
      <c r="D28" s="148"/>
      <c r="E28" s="148"/>
      <c r="F28" s="106"/>
      <c r="G28" s="148"/>
      <c r="H28" s="217"/>
      <c r="I28" s="225"/>
      <c r="J28" s="274"/>
    </row>
    <row r="29">
      <c r="A29" s="79">
        <v>11.0</v>
      </c>
      <c r="B29" s="301"/>
      <c r="C29" s="148"/>
      <c r="D29" s="148"/>
      <c r="E29" s="148"/>
      <c r="F29" s="106"/>
      <c r="G29" s="148"/>
      <c r="H29" s="148"/>
      <c r="I29" s="225"/>
      <c r="J29" s="274"/>
    </row>
    <row r="30">
      <c r="A30" s="79">
        <v>12.0</v>
      </c>
      <c r="B30" s="301"/>
      <c r="C30" s="148"/>
      <c r="D30" s="148"/>
      <c r="E30" s="148"/>
      <c r="F30" s="106"/>
      <c r="G30" s="148"/>
      <c r="H30" s="148"/>
      <c r="I30" s="225"/>
      <c r="J30" s="274"/>
    </row>
    <row r="31">
      <c r="A31" s="153">
        <v>13.0</v>
      </c>
      <c r="B31" s="301"/>
      <c r="C31" s="148"/>
      <c r="D31" s="148"/>
      <c r="E31" s="148"/>
      <c r="F31" s="106"/>
      <c r="G31" s="148"/>
      <c r="H31" s="148"/>
      <c r="I31" s="225"/>
      <c r="J31" s="274"/>
    </row>
    <row r="32">
      <c r="A32" s="160" t="s">
        <v>251</v>
      </c>
      <c r="B32" s="39"/>
      <c r="C32" s="39"/>
      <c r="D32" s="39"/>
      <c r="E32" s="39"/>
      <c r="F32" s="39"/>
      <c r="G32" s="39"/>
      <c r="H32" s="39"/>
      <c r="I32" s="37"/>
      <c r="J32" s="238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240"/>
    </row>
    <row r="34">
      <c r="A34" s="79">
        <v>1.0</v>
      </c>
      <c r="B34" s="140"/>
      <c r="C34" s="140"/>
      <c r="D34" s="140"/>
      <c r="E34" s="140"/>
      <c r="F34" s="106"/>
      <c r="G34" s="140"/>
      <c r="H34" s="140"/>
      <c r="I34" s="225"/>
      <c r="J34" s="274"/>
    </row>
    <row r="35">
      <c r="A35" s="79">
        <v>2.0</v>
      </c>
      <c r="B35" s="140"/>
      <c r="C35" s="140"/>
      <c r="D35" s="140"/>
      <c r="E35" s="140"/>
      <c r="F35" s="106"/>
      <c r="G35" s="140"/>
      <c r="H35" s="140"/>
      <c r="I35" s="225"/>
      <c r="J35" s="274"/>
    </row>
    <row r="36">
      <c r="A36" s="79">
        <v>3.0</v>
      </c>
      <c r="B36" s="140"/>
      <c r="C36" s="140"/>
      <c r="D36" s="140"/>
      <c r="E36" s="140"/>
      <c r="F36" s="106"/>
      <c r="G36" s="140"/>
      <c r="H36" s="140"/>
      <c r="I36" s="225"/>
      <c r="J36" s="274"/>
    </row>
    <row r="37">
      <c r="A37" s="79">
        <v>4.0</v>
      </c>
      <c r="B37" s="140"/>
      <c r="C37" s="140"/>
      <c r="D37" s="140"/>
      <c r="E37" s="140"/>
      <c r="F37" s="106"/>
      <c r="G37" s="140"/>
      <c r="H37" s="140"/>
      <c r="I37" s="225"/>
      <c r="J37" s="274"/>
    </row>
    <row r="38">
      <c r="A38" s="79">
        <v>5.0</v>
      </c>
      <c r="B38" s="140"/>
      <c r="C38" s="140"/>
      <c r="D38" s="140"/>
      <c r="E38" s="140"/>
      <c r="F38" s="106"/>
      <c r="G38" s="140"/>
      <c r="H38" s="140"/>
      <c r="I38" s="225"/>
      <c r="J38" s="274"/>
    </row>
    <row r="39">
      <c r="A39" s="79">
        <v>6.0</v>
      </c>
      <c r="B39" s="140"/>
      <c r="C39" s="140"/>
      <c r="D39" s="140"/>
      <c r="E39" s="140"/>
      <c r="F39" s="106"/>
      <c r="G39" s="140"/>
      <c r="H39" s="140"/>
      <c r="I39" s="225"/>
      <c r="J39" s="274"/>
    </row>
    <row r="40">
      <c r="A40" s="79">
        <v>7.0</v>
      </c>
      <c r="B40" s="140"/>
      <c r="C40" s="140"/>
      <c r="D40" s="140"/>
      <c r="E40" s="140"/>
      <c r="F40" s="106"/>
      <c r="G40" s="140"/>
      <c r="H40" s="140"/>
      <c r="I40" s="225"/>
      <c r="J40" s="274"/>
    </row>
    <row r="41">
      <c r="A41" s="79">
        <v>8.0</v>
      </c>
      <c r="B41" s="140"/>
      <c r="C41" s="140"/>
      <c r="D41" s="140"/>
      <c r="E41" s="140"/>
      <c r="F41" s="106"/>
      <c r="G41" s="140"/>
      <c r="H41" s="140"/>
      <c r="I41" s="225"/>
      <c r="J41" s="274"/>
    </row>
    <row r="42">
      <c r="A42" s="79">
        <v>9.0</v>
      </c>
      <c r="B42" s="140"/>
      <c r="C42" s="140"/>
      <c r="D42" s="140"/>
      <c r="E42" s="140"/>
      <c r="F42" s="106"/>
      <c r="G42" s="140"/>
      <c r="H42" s="140"/>
      <c r="I42" s="225"/>
      <c r="J42" s="274"/>
    </row>
    <row r="43">
      <c r="A43" s="79">
        <v>10.0</v>
      </c>
      <c r="B43" s="140"/>
      <c r="C43" s="140"/>
      <c r="D43" s="140"/>
      <c r="E43" s="140"/>
      <c r="F43" s="106"/>
      <c r="G43" s="140"/>
      <c r="H43" s="140"/>
      <c r="I43" s="225"/>
      <c r="J43" s="274"/>
    </row>
    <row r="44">
      <c r="A44" s="79">
        <v>11.0</v>
      </c>
      <c r="B44" s="140"/>
      <c r="C44" s="140"/>
      <c r="D44" s="140"/>
      <c r="E44" s="140"/>
      <c r="F44" s="106"/>
      <c r="G44" s="140"/>
      <c r="H44" s="140"/>
      <c r="I44" s="225"/>
      <c r="J44" s="274"/>
    </row>
    <row r="45">
      <c r="A45" s="79">
        <v>12.0</v>
      </c>
      <c r="B45" s="140"/>
      <c r="C45" s="140"/>
      <c r="D45" s="140"/>
      <c r="E45" s="140"/>
      <c r="F45" s="106"/>
      <c r="G45" s="140"/>
      <c r="H45" s="140"/>
      <c r="I45" s="225"/>
      <c r="J45" s="274"/>
    </row>
    <row r="46">
      <c r="A46" s="153">
        <v>13.0</v>
      </c>
      <c r="B46" s="140"/>
      <c r="C46" s="140"/>
      <c r="D46" s="140"/>
      <c r="E46" s="140"/>
      <c r="F46" s="106"/>
      <c r="G46" s="140"/>
      <c r="H46" s="140"/>
      <c r="I46" s="225"/>
      <c r="J46" s="274"/>
    </row>
    <row r="47">
      <c r="A47" s="311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4:F16 F19:F31 F34:F46">
      <formula1>"Acompanhamento na revista,Registro concedido,Aguardando Deposito"</formula1>
    </dataValidation>
  </dataValidations>
  <hyperlinks>
    <hyperlink r:id="rId1" ref="E4"/>
    <hyperlink r:id="rId2" ref="E19"/>
    <hyperlink r:id="rId3" ref="E20"/>
    <hyperlink r:id="rId4" ref="E21"/>
    <hyperlink r:id="rId5" ref="E22"/>
    <hyperlink r:id="rId6" ref="E23"/>
    <hyperlink r:id="rId7" ref="E24"/>
    <hyperlink r:id="rId8" ref="E25"/>
    <hyperlink r:id="rId9" ref="E26"/>
  </hyperlinks>
  <drawing r:id="rId10"/>
  <tableParts count="2">
    <tablePart r:id="rId13"/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21.43"/>
    <col customWidth="1" min="8" max="8" width="25.29"/>
    <col customWidth="1" min="9" max="9" width="34.14"/>
  </cols>
  <sheetData>
    <row r="1" ht="79.5" customHeight="1">
      <c r="A1" s="284" t="s">
        <v>553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286" t="s">
        <v>13</v>
      </c>
      <c r="B2" s="39"/>
      <c r="C2" s="39"/>
      <c r="D2" s="39"/>
      <c r="E2" s="39"/>
      <c r="F2" s="39"/>
      <c r="G2" s="39"/>
      <c r="H2" s="39"/>
      <c r="I2" s="37"/>
      <c r="J2" s="274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74"/>
    </row>
    <row r="4">
      <c r="A4" s="79">
        <v>1.0</v>
      </c>
      <c r="B4" s="187" t="s">
        <v>566</v>
      </c>
      <c r="C4" s="123" t="s">
        <v>567</v>
      </c>
      <c r="D4" s="187" t="s">
        <v>66</v>
      </c>
      <c r="E4" s="294" t="s">
        <v>568</v>
      </c>
      <c r="F4" s="138" t="s">
        <v>35</v>
      </c>
      <c r="G4" s="217">
        <v>2019.0</v>
      </c>
      <c r="H4" s="113" t="s">
        <v>578</v>
      </c>
      <c r="I4" s="113" t="s">
        <v>580</v>
      </c>
      <c r="J4" s="274"/>
    </row>
    <row r="5">
      <c r="A5" s="79">
        <v>2.0</v>
      </c>
      <c r="B5" s="167" t="s">
        <v>581</v>
      </c>
      <c r="C5" s="123" t="s">
        <v>582</v>
      </c>
      <c r="D5" s="123" t="s">
        <v>255</v>
      </c>
      <c r="E5" s="298" t="s">
        <v>583</v>
      </c>
      <c r="F5" s="138" t="s">
        <v>35</v>
      </c>
      <c r="G5" s="217">
        <v>2019.0</v>
      </c>
      <c r="H5" s="300" t="s">
        <v>586</v>
      </c>
      <c r="I5" s="167" t="s">
        <v>589</v>
      </c>
      <c r="J5" s="225"/>
    </row>
    <row r="6">
      <c r="A6" s="79">
        <v>3.0</v>
      </c>
      <c r="B6" s="167" t="s">
        <v>591</v>
      </c>
      <c r="C6" s="123" t="s">
        <v>592</v>
      </c>
      <c r="D6" s="166" t="s">
        <v>56</v>
      </c>
      <c r="E6" s="163" t="s">
        <v>593</v>
      </c>
      <c r="F6" s="138" t="s">
        <v>35</v>
      </c>
      <c r="G6" s="217">
        <v>2019.0</v>
      </c>
      <c r="H6" s="300" t="s">
        <v>598</v>
      </c>
      <c r="I6" s="300" t="s">
        <v>600</v>
      </c>
      <c r="J6" s="274"/>
    </row>
    <row r="7">
      <c r="A7" s="79">
        <v>4.0</v>
      </c>
      <c r="B7" s="167" t="s">
        <v>601</v>
      </c>
      <c r="C7" s="123" t="s">
        <v>602</v>
      </c>
      <c r="D7" s="166" t="s">
        <v>46</v>
      </c>
      <c r="E7" s="163" t="s">
        <v>603</v>
      </c>
      <c r="F7" s="138" t="s">
        <v>35</v>
      </c>
      <c r="G7" s="217">
        <v>2019.0</v>
      </c>
      <c r="H7" s="300" t="s">
        <v>606</v>
      </c>
      <c r="I7" s="300" t="s">
        <v>607</v>
      </c>
      <c r="J7" s="274"/>
    </row>
    <row r="8">
      <c r="A8" s="79">
        <v>5.0</v>
      </c>
      <c r="B8" s="187"/>
      <c r="C8" s="123"/>
      <c r="D8" s="123"/>
      <c r="E8" s="302"/>
      <c r="F8" s="138"/>
      <c r="G8" s="217"/>
      <c r="H8" s="113"/>
      <c r="I8" s="148"/>
      <c r="J8" s="274"/>
    </row>
    <row r="9">
      <c r="A9" s="79">
        <v>6.0</v>
      </c>
      <c r="B9" s="123"/>
      <c r="C9" s="123"/>
      <c r="D9" s="166"/>
      <c r="E9" s="303"/>
      <c r="F9" s="138"/>
      <c r="G9" s="217"/>
      <c r="H9" s="113"/>
      <c r="I9" s="113"/>
      <c r="J9" s="274"/>
    </row>
    <row r="10">
      <c r="A10" s="79">
        <v>7.0</v>
      </c>
      <c r="B10" s="304"/>
      <c r="C10" s="304"/>
      <c r="D10" s="305"/>
      <c r="E10" s="306"/>
      <c r="F10" s="138"/>
      <c r="G10" s="217"/>
      <c r="H10" s="113"/>
      <c r="I10" s="113"/>
      <c r="J10" s="274"/>
    </row>
    <row r="11">
      <c r="A11" s="307">
        <v>8.0</v>
      </c>
      <c r="B11" s="123"/>
      <c r="C11" s="123"/>
      <c r="D11" s="166"/>
      <c r="E11" s="303"/>
      <c r="F11" s="308"/>
      <c r="G11" s="217"/>
      <c r="H11" s="113"/>
      <c r="I11" s="217"/>
      <c r="J11" s="274"/>
    </row>
    <row r="12">
      <c r="A12" s="79">
        <v>9.0</v>
      </c>
      <c r="B12" s="310"/>
      <c r="C12" s="310"/>
      <c r="D12" s="310"/>
      <c r="E12" s="310"/>
      <c r="F12" s="138"/>
      <c r="G12" s="217"/>
      <c r="H12" s="215"/>
      <c r="I12" s="215"/>
      <c r="J12" s="224"/>
    </row>
    <row r="13">
      <c r="A13" s="79">
        <v>10.0</v>
      </c>
      <c r="B13" s="215"/>
      <c r="C13" s="215"/>
      <c r="D13" s="215"/>
      <c r="E13" s="215"/>
      <c r="F13" s="138"/>
      <c r="G13" s="217"/>
      <c r="H13" s="215"/>
      <c r="I13" s="215"/>
      <c r="J13" s="224"/>
    </row>
    <row r="14">
      <c r="A14" s="79">
        <v>11.0</v>
      </c>
      <c r="B14" s="218"/>
      <c r="C14" s="218"/>
      <c r="D14" s="218"/>
      <c r="E14" s="218"/>
      <c r="F14" s="138"/>
      <c r="G14" s="217"/>
      <c r="H14" s="218"/>
      <c r="I14" s="218"/>
      <c r="J14" s="224"/>
    </row>
    <row r="15">
      <c r="A15" s="79">
        <v>12.0</v>
      </c>
      <c r="B15" s="218"/>
      <c r="C15" s="218"/>
      <c r="D15" s="218"/>
      <c r="E15" s="218"/>
      <c r="F15" s="138"/>
      <c r="G15" s="217"/>
      <c r="H15" s="218"/>
      <c r="I15" s="218"/>
      <c r="J15" s="224"/>
    </row>
    <row r="16">
      <c r="A16" s="153">
        <v>13.0</v>
      </c>
      <c r="B16" s="218"/>
      <c r="C16" s="218"/>
      <c r="D16" s="218"/>
      <c r="E16" s="218"/>
      <c r="F16" s="138"/>
      <c r="G16" s="217"/>
      <c r="H16" s="218"/>
      <c r="I16" s="218"/>
      <c r="J16" s="224"/>
    </row>
    <row r="17">
      <c r="A17" s="312" t="s">
        <v>123</v>
      </c>
      <c r="B17" s="39"/>
      <c r="C17" s="39"/>
      <c r="D17" s="39"/>
      <c r="E17" s="39"/>
      <c r="F17" s="39"/>
      <c r="G17" s="39"/>
      <c r="H17" s="39"/>
      <c r="I17" s="37"/>
      <c r="J17" s="274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74"/>
    </row>
    <row r="19">
      <c r="A19" s="79">
        <v>1.0</v>
      </c>
      <c r="B19" s="167" t="s">
        <v>617</v>
      </c>
      <c r="C19" s="313" t="s">
        <v>618</v>
      </c>
      <c r="D19" s="158" t="s">
        <v>299</v>
      </c>
      <c r="E19" s="84" t="s">
        <v>619</v>
      </c>
      <c r="F19" s="138" t="s">
        <v>147</v>
      </c>
      <c r="G19" s="262">
        <v>2019.0</v>
      </c>
      <c r="H19" s="300" t="s">
        <v>620</v>
      </c>
      <c r="I19" s="314"/>
      <c r="J19" s="315"/>
    </row>
    <row r="20">
      <c r="A20" s="79">
        <v>2.0</v>
      </c>
      <c r="B20" s="167" t="s">
        <v>621</v>
      </c>
      <c r="C20" s="316" t="s">
        <v>618</v>
      </c>
      <c r="D20" s="158" t="s">
        <v>299</v>
      </c>
      <c r="E20" s="84" t="s">
        <v>619</v>
      </c>
      <c r="F20" s="138" t="s">
        <v>147</v>
      </c>
      <c r="G20" s="262">
        <v>2019.0</v>
      </c>
      <c r="H20" s="300" t="s">
        <v>622</v>
      </c>
      <c r="I20" s="317"/>
      <c r="J20" s="174"/>
    </row>
    <row r="21">
      <c r="A21" s="79">
        <v>3.0</v>
      </c>
      <c r="B21" s="167" t="s">
        <v>623</v>
      </c>
      <c r="C21" s="123" t="s">
        <v>624</v>
      </c>
      <c r="D21" s="158" t="s">
        <v>299</v>
      </c>
      <c r="E21" s="276" t="s">
        <v>403</v>
      </c>
      <c r="F21" s="138" t="s">
        <v>147</v>
      </c>
      <c r="G21" s="262">
        <v>2019.0</v>
      </c>
      <c r="H21" s="300" t="s">
        <v>625</v>
      </c>
      <c r="I21" s="317"/>
      <c r="J21" s="174"/>
    </row>
    <row r="22">
      <c r="A22" s="79">
        <v>4.0</v>
      </c>
      <c r="B22" s="167" t="s">
        <v>626</v>
      </c>
      <c r="C22" s="123" t="s">
        <v>627</v>
      </c>
      <c r="D22" s="318" t="s">
        <v>46</v>
      </c>
      <c r="E22" s="163" t="s">
        <v>628</v>
      </c>
      <c r="F22" s="138" t="s">
        <v>147</v>
      </c>
      <c r="G22" s="262">
        <v>2019.0</v>
      </c>
      <c r="H22" s="300" t="s">
        <v>630</v>
      </c>
      <c r="I22" s="317"/>
      <c r="J22" s="174"/>
    </row>
    <row r="23">
      <c r="A23" s="79">
        <v>5.0</v>
      </c>
      <c r="B23" s="167" t="s">
        <v>631</v>
      </c>
      <c r="C23" s="167" t="s">
        <v>632</v>
      </c>
      <c r="D23" s="123" t="s">
        <v>43</v>
      </c>
      <c r="E23" s="163" t="s">
        <v>633</v>
      </c>
      <c r="F23" s="138" t="s">
        <v>147</v>
      </c>
      <c r="G23" s="262">
        <v>2019.0</v>
      </c>
      <c r="H23" s="300" t="s">
        <v>635</v>
      </c>
      <c r="I23" s="317"/>
      <c r="J23" s="174"/>
    </row>
    <row r="24">
      <c r="A24" s="79">
        <v>6.0</v>
      </c>
      <c r="B24" s="167" t="s">
        <v>636</v>
      </c>
      <c r="C24" s="321" t="s">
        <v>637</v>
      </c>
      <c r="D24" s="318" t="s">
        <v>46</v>
      </c>
      <c r="E24" s="163" t="s">
        <v>638</v>
      </c>
      <c r="F24" s="138" t="s">
        <v>147</v>
      </c>
      <c r="G24" s="262">
        <v>2019.0</v>
      </c>
      <c r="H24" s="300" t="s">
        <v>639</v>
      </c>
      <c r="I24" s="317"/>
      <c r="J24" s="174"/>
    </row>
    <row r="25">
      <c r="A25" s="79">
        <v>7.0</v>
      </c>
      <c r="B25" s="167" t="s">
        <v>640</v>
      </c>
      <c r="C25" s="167" t="s">
        <v>641</v>
      </c>
      <c r="D25" s="318" t="s">
        <v>46</v>
      </c>
      <c r="E25" s="193" t="s">
        <v>195</v>
      </c>
      <c r="F25" s="138" t="s">
        <v>147</v>
      </c>
      <c r="G25" s="262">
        <v>2019.0</v>
      </c>
      <c r="H25" s="300" t="s">
        <v>642</v>
      </c>
      <c r="I25" s="225"/>
      <c r="J25" s="274"/>
    </row>
    <row r="26">
      <c r="A26" s="79">
        <v>8.0</v>
      </c>
      <c r="B26" s="167" t="s">
        <v>643</v>
      </c>
      <c r="C26" s="167" t="s">
        <v>644</v>
      </c>
      <c r="D26" s="318" t="s">
        <v>46</v>
      </c>
      <c r="E26" s="193" t="s">
        <v>195</v>
      </c>
      <c r="F26" s="138" t="s">
        <v>147</v>
      </c>
      <c r="G26" s="262">
        <v>2019.0</v>
      </c>
      <c r="H26" s="300" t="s">
        <v>645</v>
      </c>
      <c r="I26" s="225"/>
      <c r="J26" s="274"/>
    </row>
    <row r="27">
      <c r="A27" s="79">
        <v>9.0</v>
      </c>
      <c r="B27" s="167" t="s">
        <v>646</v>
      </c>
      <c r="C27" s="167" t="s">
        <v>644</v>
      </c>
      <c r="D27" s="318" t="s">
        <v>46</v>
      </c>
      <c r="E27" s="193" t="s">
        <v>195</v>
      </c>
      <c r="F27" s="138" t="s">
        <v>147</v>
      </c>
      <c r="G27" s="262">
        <v>2019.0</v>
      </c>
      <c r="H27" s="300" t="s">
        <v>647</v>
      </c>
      <c r="I27" s="225"/>
      <c r="J27" s="274"/>
    </row>
    <row r="28">
      <c r="A28" s="79">
        <v>10.0</v>
      </c>
      <c r="B28" s="167" t="s">
        <v>648</v>
      </c>
      <c r="C28" s="167" t="s">
        <v>641</v>
      </c>
      <c r="D28" s="318" t="s">
        <v>46</v>
      </c>
      <c r="E28" s="193" t="s">
        <v>195</v>
      </c>
      <c r="F28" s="138" t="s">
        <v>147</v>
      </c>
      <c r="G28" s="262">
        <v>2019.0</v>
      </c>
      <c r="H28" s="300" t="s">
        <v>650</v>
      </c>
      <c r="I28" s="225"/>
      <c r="J28" s="274"/>
    </row>
    <row r="29">
      <c r="A29" s="79">
        <v>11.0</v>
      </c>
      <c r="B29" s="167" t="s">
        <v>651</v>
      </c>
      <c r="C29" s="167" t="s">
        <v>652</v>
      </c>
      <c r="D29" s="318" t="s">
        <v>46</v>
      </c>
      <c r="E29" s="163" t="s">
        <v>653</v>
      </c>
      <c r="F29" s="138" t="s">
        <v>147</v>
      </c>
      <c r="G29" s="262">
        <v>2019.0</v>
      </c>
      <c r="H29" s="300" t="s">
        <v>654</v>
      </c>
      <c r="I29" s="225"/>
      <c r="J29" s="274"/>
    </row>
    <row r="30">
      <c r="A30" s="79">
        <v>12.0</v>
      </c>
      <c r="B30" s="167" t="s">
        <v>655</v>
      </c>
      <c r="C30" s="167" t="s">
        <v>656</v>
      </c>
      <c r="D30" s="167" t="s">
        <v>205</v>
      </c>
      <c r="E30" s="217" t="s">
        <v>657</v>
      </c>
      <c r="F30" s="138" t="s">
        <v>147</v>
      </c>
      <c r="G30" s="262">
        <v>2019.0</v>
      </c>
      <c r="H30" s="300" t="s">
        <v>658</v>
      </c>
      <c r="I30" s="225"/>
      <c r="J30" s="274"/>
    </row>
    <row r="31">
      <c r="A31" s="153">
        <v>13.0</v>
      </c>
      <c r="B31" s="167" t="s">
        <v>659</v>
      </c>
      <c r="C31" s="167" t="s">
        <v>660</v>
      </c>
      <c r="D31" s="167" t="s">
        <v>205</v>
      </c>
      <c r="E31" s="148" t="s">
        <v>661</v>
      </c>
      <c r="F31" s="138" t="s">
        <v>147</v>
      </c>
      <c r="G31" s="262">
        <v>2019.0</v>
      </c>
      <c r="H31" s="300" t="s">
        <v>662</v>
      </c>
      <c r="I31" s="225"/>
      <c r="J31" s="274"/>
    </row>
    <row r="32">
      <c r="A32" s="153">
        <v>14.0</v>
      </c>
      <c r="B32" s="167" t="s">
        <v>663</v>
      </c>
      <c r="C32" s="167" t="s">
        <v>664</v>
      </c>
      <c r="D32" s="167" t="s">
        <v>205</v>
      </c>
      <c r="E32" s="217" t="s">
        <v>657</v>
      </c>
      <c r="F32" s="138" t="s">
        <v>147</v>
      </c>
      <c r="G32" s="262">
        <v>2019.0</v>
      </c>
      <c r="H32" s="300" t="s">
        <v>665</v>
      </c>
      <c r="I32" s="225"/>
      <c r="J32" s="274"/>
    </row>
    <row r="33">
      <c r="A33" s="153">
        <v>15.0</v>
      </c>
      <c r="B33" s="167" t="s">
        <v>666</v>
      </c>
      <c r="C33" s="167" t="s">
        <v>667</v>
      </c>
      <c r="D33" s="188" t="s">
        <v>169</v>
      </c>
      <c r="E33" s="148" t="s">
        <v>668</v>
      </c>
      <c r="F33" s="138" t="s">
        <v>147</v>
      </c>
      <c r="G33" s="262">
        <v>2019.0</v>
      </c>
      <c r="H33" s="300" t="s">
        <v>669</v>
      </c>
      <c r="I33" s="225"/>
      <c r="J33" s="274"/>
    </row>
    <row r="34">
      <c r="A34" s="153">
        <v>16.0</v>
      </c>
      <c r="B34" s="167" t="s">
        <v>670</v>
      </c>
      <c r="C34" s="188" t="s">
        <v>671</v>
      </c>
      <c r="D34" s="167" t="s">
        <v>205</v>
      </c>
      <c r="E34" s="217" t="s">
        <v>657</v>
      </c>
      <c r="F34" s="138" t="s">
        <v>147</v>
      </c>
      <c r="G34" s="262">
        <v>2019.0</v>
      </c>
      <c r="H34" s="300" t="s">
        <v>672</v>
      </c>
      <c r="I34" s="225"/>
      <c r="J34" s="274"/>
    </row>
    <row r="35">
      <c r="A35" s="153">
        <v>17.0</v>
      </c>
      <c r="B35" s="167" t="s">
        <v>673</v>
      </c>
      <c r="C35" s="188" t="s">
        <v>674</v>
      </c>
      <c r="D35" s="188" t="s">
        <v>169</v>
      </c>
      <c r="E35" s="148" t="s">
        <v>675</v>
      </c>
      <c r="F35" s="138" t="s">
        <v>147</v>
      </c>
      <c r="G35" s="262">
        <v>2019.0</v>
      </c>
      <c r="H35" s="300" t="s">
        <v>676</v>
      </c>
      <c r="I35" s="225"/>
      <c r="J35" s="274"/>
    </row>
    <row r="36">
      <c r="A36" s="312" t="s">
        <v>251</v>
      </c>
      <c r="B36" s="39"/>
      <c r="C36" s="39"/>
      <c r="D36" s="39"/>
      <c r="E36" s="39"/>
      <c r="F36" s="39"/>
      <c r="G36" s="39"/>
      <c r="H36" s="39"/>
      <c r="I36" s="37"/>
      <c r="J36" s="274"/>
    </row>
    <row r="37">
      <c r="A37" s="73" t="s">
        <v>15</v>
      </c>
      <c r="B37" s="73" t="s">
        <v>16</v>
      </c>
      <c r="C37" s="73" t="s">
        <v>17</v>
      </c>
      <c r="D37" s="73" t="s">
        <v>18</v>
      </c>
      <c r="E37" s="73" t="s">
        <v>19</v>
      </c>
      <c r="F37" s="73" t="s">
        <v>20</v>
      </c>
      <c r="G37" s="55" t="s">
        <v>21</v>
      </c>
      <c r="H37" s="55" t="s">
        <v>24</v>
      </c>
      <c r="I37" s="55" t="s">
        <v>25</v>
      </c>
      <c r="J37" s="274"/>
    </row>
    <row r="38">
      <c r="A38" s="79">
        <v>1.0</v>
      </c>
      <c r="B38" s="183" t="s">
        <v>677</v>
      </c>
      <c r="C38" s="183" t="s">
        <v>678</v>
      </c>
      <c r="D38" s="318" t="s">
        <v>46</v>
      </c>
      <c r="E38" s="163" t="s">
        <v>679</v>
      </c>
      <c r="F38" s="223" t="s">
        <v>147</v>
      </c>
      <c r="G38" s="325">
        <v>2019.0</v>
      </c>
      <c r="H38" s="276" t="s">
        <v>681</v>
      </c>
      <c r="I38" s="276" t="s">
        <v>403</v>
      </c>
      <c r="J38" s="225"/>
    </row>
    <row r="39">
      <c r="A39" s="79">
        <v>2.0</v>
      </c>
      <c r="B39" s="183" t="s">
        <v>682</v>
      </c>
      <c r="C39" s="183" t="s">
        <v>683</v>
      </c>
      <c r="D39" s="318" t="s">
        <v>46</v>
      </c>
      <c r="E39" s="163" t="s">
        <v>684</v>
      </c>
      <c r="F39" s="223" t="s">
        <v>147</v>
      </c>
      <c r="G39" s="325">
        <v>2019.0</v>
      </c>
      <c r="H39" s="276" t="s">
        <v>685</v>
      </c>
      <c r="I39" s="276" t="s">
        <v>686</v>
      </c>
      <c r="J39" s="225"/>
    </row>
    <row r="40">
      <c r="A40" s="79">
        <v>3.0</v>
      </c>
      <c r="B40" s="183" t="s">
        <v>687</v>
      </c>
      <c r="C40" s="183" t="s">
        <v>683</v>
      </c>
      <c r="D40" s="318" t="s">
        <v>46</v>
      </c>
      <c r="E40" s="163" t="s">
        <v>688</v>
      </c>
      <c r="F40" s="223" t="s">
        <v>147</v>
      </c>
      <c r="G40" s="325">
        <v>2019.0</v>
      </c>
      <c r="H40" s="276" t="s">
        <v>689</v>
      </c>
      <c r="I40" s="276" t="s">
        <v>690</v>
      </c>
      <c r="J40" s="225"/>
    </row>
    <row r="41">
      <c r="A41" s="79">
        <v>4.0</v>
      </c>
      <c r="B41" s="183" t="s">
        <v>691</v>
      </c>
      <c r="C41" s="183" t="s">
        <v>692</v>
      </c>
      <c r="D41" s="318" t="s">
        <v>46</v>
      </c>
      <c r="E41" s="163" t="s">
        <v>693</v>
      </c>
      <c r="F41" s="223" t="s">
        <v>147</v>
      </c>
      <c r="G41" s="325">
        <v>2019.0</v>
      </c>
      <c r="H41" s="276" t="s">
        <v>694</v>
      </c>
      <c r="I41" s="276" t="s">
        <v>695</v>
      </c>
      <c r="J41" s="225"/>
    </row>
    <row r="42">
      <c r="A42" s="79">
        <v>5.0</v>
      </c>
      <c r="B42" s="183" t="s">
        <v>696</v>
      </c>
      <c r="C42" s="183" t="s">
        <v>683</v>
      </c>
      <c r="D42" s="318" t="s">
        <v>46</v>
      </c>
      <c r="E42" s="163" t="s">
        <v>697</v>
      </c>
      <c r="F42" s="223" t="s">
        <v>147</v>
      </c>
      <c r="G42" s="325">
        <v>2019.0</v>
      </c>
      <c r="H42" s="276" t="s">
        <v>698</v>
      </c>
      <c r="I42" s="276" t="s">
        <v>403</v>
      </c>
      <c r="J42" s="225"/>
    </row>
    <row r="43">
      <c r="A43" s="79">
        <v>6.0</v>
      </c>
      <c r="B43" s="183" t="s">
        <v>699</v>
      </c>
      <c r="C43" s="183" t="s">
        <v>683</v>
      </c>
      <c r="D43" s="318" t="s">
        <v>46</v>
      </c>
      <c r="E43" s="163" t="s">
        <v>700</v>
      </c>
      <c r="F43" s="223" t="s">
        <v>147</v>
      </c>
      <c r="G43" s="325">
        <v>2019.0</v>
      </c>
      <c r="H43" s="276" t="s">
        <v>701</v>
      </c>
      <c r="I43" s="276" t="s">
        <v>403</v>
      </c>
      <c r="J43" s="225"/>
    </row>
    <row r="44">
      <c r="A44" s="79">
        <v>7.0</v>
      </c>
      <c r="B44" s="183" t="s">
        <v>702</v>
      </c>
      <c r="C44" s="183" t="s">
        <v>683</v>
      </c>
      <c r="D44" s="318" t="s">
        <v>46</v>
      </c>
      <c r="E44" s="163" t="s">
        <v>703</v>
      </c>
      <c r="F44" s="223" t="s">
        <v>147</v>
      </c>
      <c r="G44" s="325">
        <v>2019.0</v>
      </c>
      <c r="H44" s="276" t="s">
        <v>704</v>
      </c>
      <c r="I44" s="276" t="s">
        <v>403</v>
      </c>
      <c r="J44" s="225"/>
    </row>
    <row r="45">
      <c r="A45" s="79">
        <v>8.0</v>
      </c>
      <c r="B45" s="183" t="s">
        <v>705</v>
      </c>
      <c r="C45" s="183" t="s">
        <v>683</v>
      </c>
      <c r="D45" s="318" t="s">
        <v>46</v>
      </c>
      <c r="E45" s="163" t="s">
        <v>706</v>
      </c>
      <c r="F45" s="223" t="s">
        <v>147</v>
      </c>
      <c r="G45" s="325">
        <v>2019.0</v>
      </c>
      <c r="H45" s="276" t="s">
        <v>707</v>
      </c>
      <c r="I45" s="276" t="s">
        <v>403</v>
      </c>
      <c r="J45" s="225"/>
    </row>
    <row r="46">
      <c r="A46" s="79">
        <v>9.0</v>
      </c>
      <c r="B46" s="183" t="s">
        <v>708</v>
      </c>
      <c r="C46" s="183" t="s">
        <v>709</v>
      </c>
      <c r="D46" s="318" t="s">
        <v>46</v>
      </c>
      <c r="E46" s="163" t="s">
        <v>710</v>
      </c>
      <c r="F46" s="223" t="s">
        <v>147</v>
      </c>
      <c r="G46" s="325">
        <v>2019.0</v>
      </c>
      <c r="H46" s="276" t="s">
        <v>711</v>
      </c>
      <c r="I46" s="276" t="s">
        <v>403</v>
      </c>
      <c r="J46" s="225"/>
    </row>
    <row r="47">
      <c r="A47" s="79">
        <v>10.0</v>
      </c>
      <c r="B47" s="183" t="s">
        <v>712</v>
      </c>
      <c r="C47" s="183" t="s">
        <v>713</v>
      </c>
      <c r="D47" s="318" t="s">
        <v>46</v>
      </c>
      <c r="E47" s="163" t="s">
        <v>714</v>
      </c>
      <c r="F47" s="223" t="s">
        <v>147</v>
      </c>
      <c r="G47" s="325">
        <v>2019.0</v>
      </c>
      <c r="H47" s="276" t="s">
        <v>715</v>
      </c>
      <c r="I47" s="276" t="s">
        <v>403</v>
      </c>
      <c r="J47" s="225"/>
    </row>
    <row r="48">
      <c r="A48" s="79">
        <v>11.0</v>
      </c>
      <c r="B48" s="183" t="s">
        <v>716</v>
      </c>
      <c r="C48" s="183" t="s">
        <v>717</v>
      </c>
      <c r="D48" s="318" t="s">
        <v>46</v>
      </c>
      <c r="E48" s="163" t="s">
        <v>718</v>
      </c>
      <c r="F48" s="223" t="s">
        <v>147</v>
      </c>
      <c r="G48" s="325">
        <v>2019.0</v>
      </c>
      <c r="H48" s="276" t="s">
        <v>719</v>
      </c>
      <c r="I48" s="276" t="s">
        <v>403</v>
      </c>
      <c r="J48" s="225"/>
    </row>
    <row r="49">
      <c r="A49" s="79">
        <v>12.0</v>
      </c>
      <c r="B49" s="225"/>
      <c r="C49" s="225"/>
      <c r="D49" s="329"/>
      <c r="E49" s="225"/>
      <c r="F49" s="138"/>
      <c r="G49" s="325"/>
      <c r="H49" s="140"/>
      <c r="I49" s="225"/>
      <c r="J49" s="274"/>
    </row>
    <row r="50">
      <c r="A50" s="153">
        <v>13.0</v>
      </c>
      <c r="B50" s="225"/>
      <c r="C50" s="225"/>
      <c r="D50" s="225"/>
      <c r="E50" s="225"/>
      <c r="F50" s="138"/>
      <c r="G50" s="325"/>
      <c r="H50" s="140"/>
      <c r="I50" s="225"/>
      <c r="J50" s="274"/>
    </row>
    <row r="51">
      <c r="A51" s="258"/>
      <c r="B51" s="39"/>
      <c r="C51" s="39"/>
      <c r="D51" s="39"/>
      <c r="E51" s="39"/>
      <c r="F51" s="39"/>
      <c r="G51" s="39"/>
      <c r="H51" s="39"/>
      <c r="I51" s="39"/>
      <c r="J51" s="37"/>
    </row>
  </sheetData>
  <mergeCells count="5">
    <mergeCell ref="A1:J1"/>
    <mergeCell ref="A2:I2"/>
    <mergeCell ref="A17:I17"/>
    <mergeCell ref="A36:I36"/>
    <mergeCell ref="A51:J51"/>
  </mergeCells>
  <dataValidations>
    <dataValidation type="list" allowBlank="1" showErrorMessage="1" sqref="F4:F16 F19:F35 F38:F48 F50">
      <formula1>"Acompanhamento na revista,Registro concedido,Aguardando Deposito"</formula1>
    </dataValidation>
  </dataValidations>
  <hyperlinks>
    <hyperlink r:id="rId1" ref="E4"/>
    <hyperlink r:id="rId2" ref="E5"/>
    <hyperlink r:id="rId3" ref="E6"/>
    <hyperlink r:id="rId4" ref="E7"/>
    <hyperlink r:id="rId5" ref="E22"/>
    <hyperlink r:id="rId6" ref="E23"/>
    <hyperlink r:id="rId7" ref="E24"/>
    <hyperlink r:id="rId8" ref="E29"/>
    <hyperlink r:id="rId9" ref="E38"/>
    <hyperlink r:id="rId10" ref="E39"/>
    <hyperlink r:id="rId11" ref="E40"/>
    <hyperlink r:id="rId12" ref="E41"/>
    <hyperlink r:id="rId13" ref="E42"/>
    <hyperlink r:id="rId14" ref="E43"/>
    <hyperlink r:id="rId15" ref="E44"/>
    <hyperlink r:id="rId16" ref="E45"/>
    <hyperlink r:id="rId17" ref="E46"/>
    <hyperlink r:id="rId18" ref="E47"/>
    <hyperlink r:id="rId19" ref="E48"/>
  </hyperlinks>
  <drawing r:id="rId20"/>
  <tableParts count="8"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21.43"/>
    <col customWidth="1" min="8" max="8" width="25.29"/>
    <col customWidth="1" min="9" max="9" width="34.14"/>
  </cols>
  <sheetData>
    <row r="1" ht="79.5" customHeight="1">
      <c r="A1" s="319" t="s">
        <v>634</v>
      </c>
      <c r="B1" s="320"/>
      <c r="C1" s="320"/>
      <c r="D1" s="320"/>
      <c r="E1" s="320"/>
      <c r="F1" s="320"/>
      <c r="G1" s="320"/>
      <c r="H1" s="320"/>
      <c r="I1" s="320"/>
      <c r="J1" s="322"/>
    </row>
    <row r="2">
      <c r="A2" s="286" t="s">
        <v>13</v>
      </c>
      <c r="B2" s="39"/>
      <c r="C2" s="39"/>
      <c r="D2" s="39"/>
      <c r="E2" s="39"/>
      <c r="F2" s="39"/>
      <c r="G2" s="39"/>
      <c r="H2" s="39"/>
      <c r="I2" s="37"/>
      <c r="J2" s="274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40"/>
    </row>
    <row r="4">
      <c r="A4" s="79">
        <v>1.0</v>
      </c>
      <c r="B4" s="187"/>
      <c r="C4" s="123"/>
      <c r="D4" s="187"/>
      <c r="E4" s="280"/>
      <c r="F4" s="106"/>
      <c r="G4" s="217"/>
      <c r="H4" s="113"/>
      <c r="I4" s="113"/>
      <c r="J4" s="274"/>
    </row>
    <row r="5">
      <c r="A5" s="79">
        <v>2.0</v>
      </c>
      <c r="B5" s="167"/>
      <c r="C5" s="123"/>
      <c r="D5" s="123"/>
      <c r="E5" s="123"/>
      <c r="F5" s="106"/>
      <c r="G5" s="217"/>
      <c r="H5" s="300"/>
      <c r="I5" s="167"/>
      <c r="J5" s="274"/>
    </row>
    <row r="6">
      <c r="A6" s="79">
        <v>3.0</v>
      </c>
      <c r="B6" s="167"/>
      <c r="C6" s="123"/>
      <c r="D6" s="166"/>
      <c r="E6" s="280"/>
      <c r="F6" s="106"/>
      <c r="G6" s="217"/>
      <c r="H6" s="300"/>
      <c r="I6" s="300"/>
      <c r="J6" s="274"/>
    </row>
    <row r="7">
      <c r="A7" s="79">
        <v>4.0</v>
      </c>
      <c r="B7" s="167"/>
      <c r="C7" s="123"/>
      <c r="D7" s="166"/>
      <c r="E7" s="280"/>
      <c r="F7" s="106"/>
      <c r="G7" s="217"/>
      <c r="H7" s="300"/>
      <c r="I7" s="300"/>
      <c r="J7" s="274"/>
    </row>
    <row r="8">
      <c r="A8" s="79">
        <v>5.0</v>
      </c>
      <c r="B8" s="323"/>
      <c r="C8" s="324"/>
      <c r="D8" s="123"/>
      <c r="E8" s="280"/>
      <c r="F8" s="106"/>
      <c r="G8" s="217"/>
      <c r="H8" s="113"/>
      <c r="I8" s="219"/>
      <c r="J8" s="274"/>
    </row>
    <row r="9">
      <c r="A9" s="79">
        <v>6.0</v>
      </c>
      <c r="B9" s="123"/>
      <c r="C9" s="123"/>
      <c r="D9" s="166"/>
      <c r="E9" s="303"/>
      <c r="F9" s="106"/>
      <c r="G9" s="217"/>
      <c r="H9" s="113"/>
      <c r="I9" s="113"/>
      <c r="J9" s="274"/>
    </row>
    <row r="10">
      <c r="A10" s="79">
        <v>7.0</v>
      </c>
      <c r="B10" s="123"/>
      <c r="C10" s="113"/>
      <c r="D10" s="217"/>
      <c r="E10" s="280"/>
      <c r="F10" s="106"/>
      <c r="G10" s="217"/>
      <c r="H10" s="113"/>
      <c r="I10" s="113"/>
      <c r="J10" s="274"/>
    </row>
    <row r="11">
      <c r="A11" s="79">
        <v>8.0</v>
      </c>
      <c r="B11" s="123"/>
      <c r="C11" s="249"/>
      <c r="D11" s="217"/>
      <c r="E11" s="280"/>
      <c r="F11" s="106"/>
      <c r="G11" s="217"/>
      <c r="H11" s="113"/>
      <c r="I11" s="217"/>
      <c r="J11" s="274"/>
    </row>
    <row r="12">
      <c r="A12" s="79">
        <v>9.0</v>
      </c>
      <c r="B12" s="215"/>
      <c r="C12" s="215"/>
      <c r="D12" s="215"/>
      <c r="E12" s="215"/>
      <c r="F12" s="106"/>
      <c r="G12" s="217"/>
      <c r="H12" s="215"/>
      <c r="I12" s="215"/>
      <c r="J12" s="224"/>
    </row>
    <row r="13">
      <c r="A13" s="79">
        <v>10.0</v>
      </c>
      <c r="B13" s="215"/>
      <c r="C13" s="215"/>
      <c r="D13" s="215"/>
      <c r="E13" s="215"/>
      <c r="F13" s="106"/>
      <c r="G13" s="217"/>
      <c r="H13" s="215"/>
      <c r="I13" s="215"/>
      <c r="J13" s="224"/>
    </row>
    <row r="14">
      <c r="A14" s="79">
        <v>11.0</v>
      </c>
      <c r="B14" s="215"/>
      <c r="C14" s="215"/>
      <c r="D14" s="215"/>
      <c r="E14" s="215"/>
      <c r="F14" s="106"/>
      <c r="G14" s="217"/>
      <c r="H14" s="215"/>
      <c r="I14" s="215"/>
      <c r="J14" s="224"/>
    </row>
    <row r="15">
      <c r="A15" s="79">
        <v>12.0</v>
      </c>
      <c r="B15" s="215"/>
      <c r="C15" s="215"/>
      <c r="D15" s="215"/>
      <c r="E15" s="215"/>
      <c r="F15" s="106"/>
      <c r="G15" s="217"/>
      <c r="H15" s="215"/>
      <c r="I15" s="215"/>
      <c r="J15" s="224"/>
    </row>
    <row r="16">
      <c r="A16" s="153">
        <v>13.0</v>
      </c>
      <c r="B16" s="218"/>
      <c r="C16" s="218"/>
      <c r="D16" s="218"/>
      <c r="E16" s="218"/>
      <c r="F16" s="106"/>
      <c r="G16" s="217"/>
      <c r="H16" s="218"/>
      <c r="I16" s="218"/>
      <c r="J16" s="224"/>
    </row>
    <row r="17">
      <c r="A17" s="312" t="s">
        <v>123</v>
      </c>
      <c r="B17" s="39"/>
      <c r="C17" s="39"/>
      <c r="D17" s="39"/>
      <c r="E17" s="39"/>
      <c r="F17" s="39"/>
      <c r="G17" s="39"/>
      <c r="H17" s="39"/>
      <c r="I17" s="37"/>
      <c r="J17" s="274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40"/>
    </row>
    <row r="19">
      <c r="A19" s="79">
        <v>1.0</v>
      </c>
      <c r="B19" s="326"/>
      <c r="C19" s="208"/>
      <c r="D19" s="208"/>
      <c r="E19" s="208"/>
      <c r="F19" s="106"/>
      <c r="G19" s="91"/>
      <c r="H19" s="279"/>
      <c r="I19" s="208"/>
      <c r="J19" s="327"/>
    </row>
    <row r="20">
      <c r="A20" s="79">
        <v>2.0</v>
      </c>
      <c r="B20" s="328"/>
      <c r="C20" s="91"/>
      <c r="D20" s="91"/>
      <c r="E20" s="91"/>
      <c r="F20" s="106"/>
      <c r="G20" s="91"/>
      <c r="H20" s="262"/>
      <c r="I20" s="252"/>
      <c r="J20" s="330"/>
    </row>
    <row r="21">
      <c r="A21" s="79">
        <v>3.0</v>
      </c>
      <c r="B21" s="328"/>
      <c r="C21" s="91"/>
      <c r="D21" s="91"/>
      <c r="E21" s="91"/>
      <c r="F21" s="106"/>
      <c r="G21" s="91"/>
      <c r="H21" s="262"/>
      <c r="I21" s="252"/>
      <c r="J21" s="330"/>
    </row>
    <row r="22">
      <c r="A22" s="79">
        <v>4.0</v>
      </c>
      <c r="B22" s="328"/>
      <c r="C22" s="91"/>
      <c r="D22" s="91"/>
      <c r="E22" s="91"/>
      <c r="F22" s="106"/>
      <c r="G22" s="91"/>
      <c r="H22" s="262"/>
      <c r="I22" s="252"/>
      <c r="J22" s="330"/>
    </row>
    <row r="23">
      <c r="A23" s="79">
        <v>5.0</v>
      </c>
      <c r="B23" s="328"/>
      <c r="C23" s="91"/>
      <c r="D23" s="91"/>
      <c r="E23" s="91"/>
      <c r="F23" s="106"/>
      <c r="G23" s="91"/>
      <c r="H23" s="262"/>
      <c r="I23" s="252"/>
      <c r="J23" s="330"/>
    </row>
    <row r="24">
      <c r="A24" s="79">
        <v>6.0</v>
      </c>
      <c r="B24" s="328"/>
      <c r="C24" s="91"/>
      <c r="D24" s="91"/>
      <c r="E24" s="91"/>
      <c r="F24" s="106"/>
      <c r="G24" s="91"/>
      <c r="H24" s="262"/>
      <c r="I24" s="252"/>
      <c r="J24" s="330"/>
    </row>
    <row r="25">
      <c r="A25" s="79">
        <v>7.0</v>
      </c>
      <c r="B25" s="301"/>
      <c r="C25" s="148"/>
      <c r="D25" s="148"/>
      <c r="E25" s="148"/>
      <c r="F25" s="106"/>
      <c r="G25" s="91"/>
      <c r="H25" s="148"/>
      <c r="I25" s="225"/>
      <c r="J25" s="274"/>
    </row>
    <row r="26">
      <c r="A26" s="79">
        <v>8.0</v>
      </c>
      <c r="B26" s="301"/>
      <c r="C26" s="148"/>
      <c r="D26" s="148"/>
      <c r="E26" s="148"/>
      <c r="F26" s="106"/>
      <c r="G26" s="91"/>
      <c r="H26" s="148"/>
      <c r="I26" s="225"/>
      <c r="J26" s="274"/>
    </row>
    <row r="27">
      <c r="A27" s="79">
        <v>9.0</v>
      </c>
      <c r="B27" s="301"/>
      <c r="C27" s="148"/>
      <c r="D27" s="148"/>
      <c r="E27" s="148"/>
      <c r="F27" s="106"/>
      <c r="G27" s="91"/>
      <c r="H27" s="148"/>
      <c r="I27" s="225"/>
      <c r="J27" s="274"/>
    </row>
    <row r="28">
      <c r="A28" s="79">
        <v>10.0</v>
      </c>
      <c r="B28" s="301"/>
      <c r="C28" s="148"/>
      <c r="D28" s="148"/>
      <c r="E28" s="148"/>
      <c r="F28" s="106"/>
      <c r="G28" s="91"/>
      <c r="H28" s="148"/>
      <c r="I28" s="225"/>
      <c r="J28" s="274"/>
    </row>
    <row r="29">
      <c r="A29" s="79">
        <v>11.0</v>
      </c>
      <c r="B29" s="301"/>
      <c r="C29" s="148"/>
      <c r="D29" s="148"/>
      <c r="E29" s="148"/>
      <c r="F29" s="106"/>
      <c r="G29" s="91"/>
      <c r="H29" s="148"/>
      <c r="I29" s="225"/>
      <c r="J29" s="274"/>
    </row>
    <row r="30">
      <c r="A30" s="79">
        <v>12.0</v>
      </c>
      <c r="B30" s="301"/>
      <c r="C30" s="148"/>
      <c r="D30" s="148"/>
      <c r="E30" s="148"/>
      <c r="F30" s="106"/>
      <c r="G30" s="148"/>
      <c r="H30" s="148"/>
      <c r="I30" s="225"/>
      <c r="J30" s="274"/>
    </row>
    <row r="31">
      <c r="A31" s="153">
        <v>13.0</v>
      </c>
      <c r="B31" s="301"/>
      <c r="C31" s="148"/>
      <c r="D31" s="148"/>
      <c r="E31" s="148"/>
      <c r="F31" s="106"/>
      <c r="G31" s="148"/>
      <c r="H31" s="148"/>
      <c r="I31" s="225"/>
      <c r="J31" s="274"/>
    </row>
    <row r="32">
      <c r="A32" s="312" t="s">
        <v>251</v>
      </c>
      <c r="B32" s="39"/>
      <c r="C32" s="39"/>
      <c r="D32" s="39"/>
      <c r="E32" s="39"/>
      <c r="F32" s="39"/>
      <c r="G32" s="39"/>
      <c r="H32" s="39"/>
      <c r="I32" s="37"/>
      <c r="J32" s="274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240"/>
    </row>
    <row r="34">
      <c r="A34" s="79">
        <v>1.0</v>
      </c>
      <c r="B34" s="183"/>
      <c r="C34" s="183"/>
      <c r="D34" s="287"/>
      <c r="E34" s="280"/>
      <c r="F34" s="106"/>
      <c r="G34" s="325"/>
      <c r="H34" s="276"/>
      <c r="I34" s="276"/>
      <c r="J34" s="274"/>
    </row>
    <row r="35">
      <c r="A35" s="79">
        <v>2.0</v>
      </c>
      <c r="B35" s="183"/>
      <c r="C35" s="183"/>
      <c r="D35" s="287"/>
      <c r="E35" s="280"/>
      <c r="F35" s="106"/>
      <c r="G35" s="325"/>
      <c r="H35" s="276"/>
      <c r="I35" s="276"/>
      <c r="J35" s="274"/>
    </row>
    <row r="36">
      <c r="A36" s="79">
        <v>3.0</v>
      </c>
      <c r="B36" s="183"/>
      <c r="C36" s="183"/>
      <c r="D36" s="287"/>
      <c r="E36" s="280"/>
      <c r="F36" s="106"/>
      <c r="G36" s="325"/>
      <c r="H36" s="276"/>
      <c r="I36" s="276"/>
      <c r="J36" s="274"/>
    </row>
    <row r="37">
      <c r="A37" s="79">
        <v>4.0</v>
      </c>
      <c r="B37" s="183"/>
      <c r="C37" s="183"/>
      <c r="D37" s="287"/>
      <c r="E37" s="280"/>
      <c r="F37" s="106"/>
      <c r="G37" s="325"/>
      <c r="H37" s="276"/>
      <c r="I37" s="276"/>
      <c r="J37" s="274"/>
    </row>
    <row r="38">
      <c r="A38" s="79">
        <v>5.0</v>
      </c>
      <c r="B38" s="183"/>
      <c r="C38" s="183"/>
      <c r="D38" s="287"/>
      <c r="E38" s="280"/>
      <c r="F38" s="106"/>
      <c r="G38" s="325"/>
      <c r="H38" s="276"/>
      <c r="I38" s="276"/>
      <c r="J38" s="274"/>
    </row>
    <row r="39">
      <c r="A39" s="79">
        <v>6.0</v>
      </c>
      <c r="B39" s="183"/>
      <c r="C39" s="183"/>
      <c r="D39" s="287"/>
      <c r="E39" s="280"/>
      <c r="F39" s="106"/>
      <c r="G39" s="325"/>
      <c r="H39" s="276"/>
      <c r="I39" s="276"/>
      <c r="J39" s="274"/>
    </row>
    <row r="40">
      <c r="A40" s="79">
        <v>7.0</v>
      </c>
      <c r="B40" s="183"/>
      <c r="C40" s="183"/>
      <c r="D40" s="287"/>
      <c r="E40" s="280"/>
      <c r="F40" s="106"/>
      <c r="G40" s="325"/>
      <c r="H40" s="276"/>
      <c r="I40" s="276"/>
      <c r="J40" s="274"/>
    </row>
    <row r="41">
      <c r="A41" s="79">
        <v>8.0</v>
      </c>
      <c r="B41" s="183"/>
      <c r="C41" s="183"/>
      <c r="D41" s="287"/>
      <c r="E41" s="280"/>
      <c r="F41" s="106"/>
      <c r="G41" s="325"/>
      <c r="H41" s="276"/>
      <c r="I41" s="276"/>
      <c r="J41" s="274"/>
    </row>
    <row r="42">
      <c r="A42" s="79">
        <v>9.0</v>
      </c>
      <c r="B42" s="183"/>
      <c r="C42" s="183"/>
      <c r="D42" s="287"/>
      <c r="E42" s="280"/>
      <c r="F42" s="106"/>
      <c r="G42" s="325"/>
      <c r="H42" s="276"/>
      <c r="I42" s="276"/>
      <c r="J42" s="274"/>
    </row>
    <row r="43">
      <c r="A43" s="79">
        <v>10.0</v>
      </c>
      <c r="B43" s="183"/>
      <c r="C43" s="183"/>
      <c r="D43" s="287"/>
      <c r="E43" s="280"/>
      <c r="F43" s="106"/>
      <c r="G43" s="325"/>
      <c r="H43" s="276"/>
      <c r="I43" s="276"/>
      <c r="J43" s="274"/>
    </row>
    <row r="44">
      <c r="A44" s="79">
        <v>11.0</v>
      </c>
      <c r="B44" s="183"/>
      <c r="C44" s="183"/>
      <c r="D44" s="287"/>
      <c r="E44" s="280"/>
      <c r="F44" s="106"/>
      <c r="G44" s="325"/>
      <c r="H44" s="276"/>
      <c r="I44" s="276"/>
      <c r="J44" s="274"/>
    </row>
    <row r="45">
      <c r="A45" s="79">
        <v>12.0</v>
      </c>
      <c r="B45" s="225"/>
      <c r="C45" s="225"/>
      <c r="D45" s="225"/>
      <c r="E45" s="225"/>
      <c r="F45" s="106"/>
      <c r="G45" s="325"/>
      <c r="H45" s="140"/>
      <c r="I45" s="225"/>
      <c r="J45" s="274"/>
    </row>
    <row r="46">
      <c r="A46" s="153">
        <v>13.0</v>
      </c>
      <c r="B46" s="225"/>
      <c r="C46" s="225"/>
      <c r="D46" s="225"/>
      <c r="E46" s="225"/>
      <c r="F46" s="106"/>
      <c r="G46" s="325"/>
      <c r="H46" s="140"/>
      <c r="I46" s="225"/>
      <c r="J46" s="274"/>
    </row>
    <row r="47">
      <c r="A47" s="258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4:F16 F19:F31 F34:F46">
      <formula1>"Acompanhamento na revista,Registro concedido,Aguardando Deposito"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21.43"/>
    <col customWidth="1" min="8" max="8" width="25.29"/>
    <col customWidth="1" min="9" max="9" width="34.14"/>
  </cols>
  <sheetData>
    <row r="1" ht="79.5" customHeight="1">
      <c r="A1" s="319" t="s">
        <v>649</v>
      </c>
      <c r="B1" s="320"/>
      <c r="C1" s="320"/>
      <c r="D1" s="320"/>
      <c r="E1" s="320"/>
      <c r="F1" s="320"/>
      <c r="G1" s="320"/>
      <c r="H1" s="320"/>
      <c r="I1" s="320"/>
      <c r="J1" s="322"/>
    </row>
    <row r="2">
      <c r="A2" s="286" t="s">
        <v>13</v>
      </c>
      <c r="B2" s="39"/>
      <c r="C2" s="39"/>
      <c r="D2" s="39"/>
      <c r="E2" s="39"/>
      <c r="F2" s="39"/>
      <c r="G2" s="39"/>
      <c r="H2" s="39"/>
      <c r="I2" s="37"/>
      <c r="J2" s="274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40"/>
    </row>
    <row r="4">
      <c r="A4" s="79">
        <v>1.0</v>
      </c>
      <c r="B4" s="187"/>
      <c r="C4" s="123"/>
      <c r="D4" s="187"/>
      <c r="E4" s="280"/>
      <c r="F4" s="106"/>
      <c r="G4" s="217"/>
      <c r="H4" s="113"/>
      <c r="I4" s="113"/>
      <c r="J4" s="274"/>
    </row>
    <row r="5">
      <c r="A5" s="79">
        <v>2.0</v>
      </c>
      <c r="B5" s="167"/>
      <c r="C5" s="123"/>
      <c r="D5" s="123"/>
      <c r="E5" s="123"/>
      <c r="F5" s="223"/>
      <c r="G5" s="217"/>
      <c r="H5" s="300"/>
      <c r="I5" s="167"/>
      <c r="J5" s="274"/>
    </row>
    <row r="6">
      <c r="A6" s="79">
        <v>3.0</v>
      </c>
      <c r="B6" s="167"/>
      <c r="C6" s="123"/>
      <c r="D6" s="166"/>
      <c r="E6" s="280"/>
      <c r="F6" s="223"/>
      <c r="G6" s="217"/>
      <c r="H6" s="300"/>
      <c r="I6" s="300"/>
      <c r="J6" s="274"/>
    </row>
    <row r="7">
      <c r="A7" s="79">
        <v>4.0</v>
      </c>
      <c r="B7" s="167"/>
      <c r="C7" s="123"/>
      <c r="D7" s="166"/>
      <c r="E7" s="280"/>
      <c r="F7" s="223"/>
      <c r="G7" s="217"/>
      <c r="H7" s="300"/>
      <c r="I7" s="300"/>
      <c r="J7" s="274"/>
    </row>
    <row r="8">
      <c r="A8" s="79">
        <v>5.0</v>
      </c>
      <c r="B8" s="323"/>
      <c r="C8" s="324"/>
      <c r="D8" s="123"/>
      <c r="E8" s="280"/>
      <c r="F8" s="223"/>
      <c r="G8" s="217"/>
      <c r="H8" s="113"/>
      <c r="I8" s="219"/>
      <c r="J8" s="274"/>
    </row>
    <row r="9">
      <c r="A9" s="79">
        <v>6.0</v>
      </c>
      <c r="B9" s="123"/>
      <c r="C9" s="123"/>
      <c r="D9" s="166"/>
      <c r="E9" s="303"/>
      <c r="F9" s="223"/>
      <c r="G9" s="217"/>
      <c r="H9" s="113"/>
      <c r="I9" s="113"/>
      <c r="J9" s="274"/>
    </row>
    <row r="10">
      <c r="A10" s="79">
        <v>7.0</v>
      </c>
      <c r="B10" s="123"/>
      <c r="C10" s="113"/>
      <c r="D10" s="217"/>
      <c r="E10" s="280"/>
      <c r="F10" s="223"/>
      <c r="G10" s="217"/>
      <c r="H10" s="113"/>
      <c r="I10" s="113"/>
      <c r="J10" s="274"/>
    </row>
    <row r="11">
      <c r="A11" s="79">
        <v>8.0</v>
      </c>
      <c r="B11" s="123"/>
      <c r="C11" s="249"/>
      <c r="D11" s="217"/>
      <c r="E11" s="280"/>
      <c r="F11" s="223"/>
      <c r="G11" s="217"/>
      <c r="H11" s="113"/>
      <c r="I11" s="217"/>
      <c r="J11" s="274"/>
    </row>
    <row r="12">
      <c r="A12" s="79">
        <v>9.0</v>
      </c>
      <c r="B12" s="215"/>
      <c r="C12" s="215"/>
      <c r="D12" s="215"/>
      <c r="E12" s="215"/>
      <c r="F12" s="223"/>
      <c r="G12" s="217"/>
      <c r="H12" s="215"/>
      <c r="I12" s="215"/>
      <c r="J12" s="224"/>
    </row>
    <row r="13">
      <c r="A13" s="79">
        <v>10.0</v>
      </c>
      <c r="B13" s="215"/>
      <c r="C13" s="215"/>
      <c r="D13" s="215"/>
      <c r="E13" s="215"/>
      <c r="F13" s="223"/>
      <c r="G13" s="217"/>
      <c r="H13" s="215"/>
      <c r="I13" s="215"/>
      <c r="J13" s="224"/>
    </row>
    <row r="14">
      <c r="A14" s="79">
        <v>11.0</v>
      </c>
      <c r="B14" s="215"/>
      <c r="C14" s="215"/>
      <c r="D14" s="215"/>
      <c r="E14" s="215"/>
      <c r="F14" s="223"/>
      <c r="G14" s="217"/>
      <c r="H14" s="215"/>
      <c r="I14" s="215"/>
      <c r="J14" s="224"/>
    </row>
    <row r="15">
      <c r="A15" s="79">
        <v>12.0</v>
      </c>
      <c r="B15" s="215"/>
      <c r="C15" s="215"/>
      <c r="D15" s="215"/>
      <c r="E15" s="215"/>
      <c r="F15" s="223"/>
      <c r="G15" s="217"/>
      <c r="H15" s="215"/>
      <c r="I15" s="215"/>
      <c r="J15" s="224"/>
    </row>
    <row r="16">
      <c r="A16" s="153">
        <v>13.0</v>
      </c>
      <c r="B16" s="218"/>
      <c r="C16" s="218"/>
      <c r="D16" s="218"/>
      <c r="E16" s="218"/>
      <c r="F16" s="138"/>
      <c r="G16" s="217"/>
      <c r="H16" s="218"/>
      <c r="I16" s="218"/>
      <c r="J16" s="224"/>
    </row>
    <row r="17">
      <c r="A17" s="312" t="s">
        <v>123</v>
      </c>
      <c r="B17" s="39"/>
      <c r="C17" s="39"/>
      <c r="D17" s="39"/>
      <c r="E17" s="39"/>
      <c r="F17" s="39"/>
      <c r="G17" s="39"/>
      <c r="H17" s="39"/>
      <c r="I17" s="37"/>
      <c r="J17" s="274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40"/>
    </row>
    <row r="19">
      <c r="A19" s="79">
        <v>1.0</v>
      </c>
      <c r="B19" s="326"/>
      <c r="C19" s="208"/>
      <c r="D19" s="208"/>
      <c r="E19" s="208"/>
      <c r="F19" s="106"/>
      <c r="G19" s="91"/>
      <c r="H19" s="279"/>
      <c r="I19" s="208"/>
      <c r="J19" s="327"/>
    </row>
    <row r="20">
      <c r="A20" s="79">
        <v>2.0</v>
      </c>
      <c r="B20" s="328"/>
      <c r="C20" s="91"/>
      <c r="D20" s="91"/>
      <c r="E20" s="91"/>
      <c r="F20" s="331"/>
      <c r="G20" s="91"/>
      <c r="H20" s="262"/>
      <c r="I20" s="252"/>
      <c r="J20" s="330"/>
    </row>
    <row r="21">
      <c r="A21" s="79">
        <v>3.0</v>
      </c>
      <c r="B21" s="328"/>
      <c r="C21" s="91"/>
      <c r="D21" s="91"/>
      <c r="E21" s="91"/>
      <c r="F21" s="331"/>
      <c r="G21" s="91"/>
      <c r="H21" s="262"/>
      <c r="I21" s="252"/>
      <c r="J21" s="330"/>
    </row>
    <row r="22">
      <c r="A22" s="79">
        <v>4.0</v>
      </c>
      <c r="B22" s="328"/>
      <c r="C22" s="91"/>
      <c r="D22" s="91"/>
      <c r="E22" s="91"/>
      <c r="F22" s="331"/>
      <c r="G22" s="91"/>
      <c r="H22" s="262"/>
      <c r="I22" s="252"/>
      <c r="J22" s="330"/>
    </row>
    <row r="23">
      <c r="A23" s="79">
        <v>5.0</v>
      </c>
      <c r="B23" s="328"/>
      <c r="C23" s="91"/>
      <c r="D23" s="91"/>
      <c r="E23" s="91"/>
      <c r="F23" s="331"/>
      <c r="G23" s="91"/>
      <c r="H23" s="262"/>
      <c r="I23" s="252"/>
      <c r="J23" s="330"/>
    </row>
    <row r="24">
      <c r="A24" s="79">
        <v>6.0</v>
      </c>
      <c r="B24" s="328"/>
      <c r="C24" s="91"/>
      <c r="D24" s="91"/>
      <c r="E24" s="91"/>
      <c r="F24" s="331"/>
      <c r="G24" s="91"/>
      <c r="H24" s="262"/>
      <c r="I24" s="252"/>
      <c r="J24" s="330"/>
    </row>
    <row r="25">
      <c r="A25" s="79">
        <v>7.0</v>
      </c>
      <c r="B25" s="301"/>
      <c r="C25" s="148"/>
      <c r="D25" s="148"/>
      <c r="E25" s="148"/>
      <c r="F25" s="138"/>
      <c r="G25" s="91"/>
      <c r="H25" s="148"/>
      <c r="I25" s="225"/>
      <c r="J25" s="274"/>
    </row>
    <row r="26">
      <c r="A26" s="79">
        <v>8.0</v>
      </c>
      <c r="B26" s="301"/>
      <c r="C26" s="148"/>
      <c r="D26" s="148"/>
      <c r="E26" s="148"/>
      <c r="F26" s="138"/>
      <c r="G26" s="91"/>
      <c r="H26" s="148"/>
      <c r="I26" s="225"/>
      <c r="J26" s="274"/>
    </row>
    <row r="27">
      <c r="A27" s="79">
        <v>9.0</v>
      </c>
      <c r="B27" s="301"/>
      <c r="C27" s="148"/>
      <c r="D27" s="148"/>
      <c r="E27" s="148"/>
      <c r="F27" s="138"/>
      <c r="G27" s="91"/>
      <c r="H27" s="148"/>
      <c r="I27" s="225"/>
      <c r="J27" s="274"/>
    </row>
    <row r="28">
      <c r="A28" s="79">
        <v>10.0</v>
      </c>
      <c r="B28" s="301"/>
      <c r="C28" s="148"/>
      <c r="D28" s="148"/>
      <c r="E28" s="148"/>
      <c r="F28" s="138"/>
      <c r="G28" s="91"/>
      <c r="H28" s="148"/>
      <c r="I28" s="225"/>
      <c r="J28" s="274"/>
    </row>
    <row r="29">
      <c r="A29" s="79">
        <v>11.0</v>
      </c>
      <c r="B29" s="301"/>
      <c r="C29" s="148"/>
      <c r="D29" s="148"/>
      <c r="E29" s="148"/>
      <c r="F29" s="138"/>
      <c r="G29" s="91"/>
      <c r="H29" s="148"/>
      <c r="I29" s="225"/>
      <c r="J29" s="274"/>
    </row>
    <row r="30">
      <c r="A30" s="79">
        <v>12.0</v>
      </c>
      <c r="B30" s="301"/>
      <c r="C30" s="148"/>
      <c r="D30" s="148"/>
      <c r="E30" s="148"/>
      <c r="F30" s="138"/>
      <c r="G30" s="148"/>
      <c r="H30" s="148"/>
      <c r="I30" s="225"/>
      <c r="J30" s="274"/>
    </row>
    <row r="31">
      <c r="A31" s="153">
        <v>13.0</v>
      </c>
      <c r="B31" s="301"/>
      <c r="C31" s="148"/>
      <c r="D31" s="148"/>
      <c r="E31" s="148"/>
      <c r="F31" s="138"/>
      <c r="G31" s="148"/>
      <c r="H31" s="148"/>
      <c r="I31" s="225"/>
      <c r="J31" s="274"/>
    </row>
    <row r="32">
      <c r="A32" s="312" t="s">
        <v>251</v>
      </c>
      <c r="B32" s="39"/>
      <c r="C32" s="39"/>
      <c r="D32" s="39"/>
      <c r="E32" s="39"/>
      <c r="F32" s="39"/>
      <c r="G32" s="39"/>
      <c r="H32" s="39"/>
      <c r="I32" s="37"/>
      <c r="J32" s="274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240"/>
    </row>
    <row r="34">
      <c r="A34" s="79">
        <v>1.0</v>
      </c>
      <c r="B34" s="183"/>
      <c r="C34" s="183"/>
      <c r="D34" s="287"/>
      <c r="E34" s="280"/>
      <c r="F34" s="230"/>
      <c r="G34" s="325"/>
      <c r="H34" s="276"/>
      <c r="I34" s="276"/>
      <c r="J34" s="274"/>
    </row>
    <row r="35">
      <c r="A35" s="79">
        <v>2.0</v>
      </c>
      <c r="B35" s="183"/>
      <c r="C35" s="183"/>
      <c r="D35" s="287"/>
      <c r="E35" s="280"/>
      <c r="F35" s="230"/>
      <c r="G35" s="325"/>
      <c r="H35" s="276"/>
      <c r="I35" s="276"/>
      <c r="J35" s="274"/>
    </row>
    <row r="36">
      <c r="A36" s="79">
        <v>3.0</v>
      </c>
      <c r="B36" s="183"/>
      <c r="C36" s="183"/>
      <c r="D36" s="287"/>
      <c r="E36" s="280"/>
      <c r="F36" s="230"/>
      <c r="G36" s="325"/>
      <c r="H36" s="276"/>
      <c r="I36" s="276"/>
      <c r="J36" s="274"/>
    </row>
    <row r="37">
      <c r="A37" s="79">
        <v>4.0</v>
      </c>
      <c r="B37" s="183"/>
      <c r="C37" s="183"/>
      <c r="D37" s="287"/>
      <c r="E37" s="280"/>
      <c r="F37" s="230"/>
      <c r="G37" s="325"/>
      <c r="H37" s="276"/>
      <c r="I37" s="276"/>
      <c r="J37" s="274"/>
    </row>
    <row r="38">
      <c r="A38" s="79">
        <v>5.0</v>
      </c>
      <c r="B38" s="183"/>
      <c r="C38" s="183"/>
      <c r="D38" s="287"/>
      <c r="E38" s="280"/>
      <c r="F38" s="230"/>
      <c r="G38" s="325"/>
      <c r="H38" s="276"/>
      <c r="I38" s="276"/>
      <c r="J38" s="274"/>
    </row>
    <row r="39">
      <c r="A39" s="79">
        <v>6.0</v>
      </c>
      <c r="B39" s="183"/>
      <c r="C39" s="183"/>
      <c r="D39" s="287"/>
      <c r="E39" s="280"/>
      <c r="F39" s="230"/>
      <c r="G39" s="325"/>
      <c r="H39" s="276"/>
      <c r="I39" s="276"/>
      <c r="J39" s="274"/>
    </row>
    <row r="40">
      <c r="A40" s="79">
        <v>7.0</v>
      </c>
      <c r="B40" s="183"/>
      <c r="C40" s="183"/>
      <c r="D40" s="287"/>
      <c r="E40" s="280"/>
      <c r="F40" s="230"/>
      <c r="G40" s="325"/>
      <c r="H40" s="276"/>
      <c r="I40" s="276"/>
      <c r="J40" s="274"/>
    </row>
    <row r="41">
      <c r="A41" s="79">
        <v>8.0</v>
      </c>
      <c r="B41" s="183"/>
      <c r="C41" s="183"/>
      <c r="D41" s="287"/>
      <c r="E41" s="280"/>
      <c r="F41" s="230"/>
      <c r="G41" s="325"/>
      <c r="H41" s="276"/>
      <c r="I41" s="276"/>
      <c r="J41" s="274"/>
    </row>
    <row r="42">
      <c r="A42" s="79">
        <v>9.0</v>
      </c>
      <c r="B42" s="183"/>
      <c r="C42" s="183"/>
      <c r="D42" s="287"/>
      <c r="E42" s="280"/>
      <c r="F42" s="230"/>
      <c r="G42" s="325"/>
      <c r="H42" s="276"/>
      <c r="I42" s="276"/>
      <c r="J42" s="274"/>
    </row>
    <row r="43">
      <c r="A43" s="79">
        <v>10.0</v>
      </c>
      <c r="B43" s="183"/>
      <c r="C43" s="183"/>
      <c r="D43" s="287"/>
      <c r="E43" s="280"/>
      <c r="F43" s="230"/>
      <c r="G43" s="325"/>
      <c r="H43" s="276"/>
      <c r="I43" s="276"/>
      <c r="J43" s="274"/>
    </row>
    <row r="44">
      <c r="A44" s="79">
        <v>11.0</v>
      </c>
      <c r="B44" s="183"/>
      <c r="C44" s="183"/>
      <c r="D44" s="287"/>
      <c r="E44" s="280"/>
      <c r="F44" s="230"/>
      <c r="G44" s="325"/>
      <c r="H44" s="276"/>
      <c r="I44" s="276"/>
      <c r="J44" s="274"/>
    </row>
    <row r="45">
      <c r="A45" s="79">
        <v>12.0</v>
      </c>
      <c r="B45" s="225"/>
      <c r="C45" s="225"/>
      <c r="D45" s="225"/>
      <c r="E45" s="225"/>
      <c r="F45" s="230"/>
      <c r="G45" s="325"/>
      <c r="H45" s="225"/>
      <c r="I45" s="225"/>
      <c r="J45" s="274"/>
    </row>
    <row r="46">
      <c r="A46" s="153">
        <v>13.0</v>
      </c>
      <c r="B46" s="225"/>
      <c r="C46" s="225"/>
      <c r="D46" s="225"/>
      <c r="E46" s="225"/>
      <c r="F46" s="230"/>
      <c r="G46" s="325"/>
      <c r="H46" s="225"/>
      <c r="I46" s="225"/>
      <c r="J46" s="274"/>
    </row>
    <row r="47">
      <c r="A47" s="258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4 F34:F46">
      <formula1>"Acompanhamento na revista,Registro concedido,Aguardando Deposito"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21.43"/>
    <col customWidth="1" min="8" max="8" width="25.29"/>
    <col customWidth="1" min="9" max="9" width="34.14"/>
  </cols>
  <sheetData>
    <row r="1" ht="79.5" customHeight="1">
      <c r="A1" s="284" t="s">
        <v>721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286" t="s">
        <v>13</v>
      </c>
      <c r="B2" s="39"/>
      <c r="C2" s="39"/>
      <c r="D2" s="39"/>
      <c r="E2" s="39"/>
      <c r="F2" s="39"/>
      <c r="G2" s="39"/>
      <c r="H2" s="39"/>
      <c r="I2" s="37"/>
      <c r="J2" s="274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74"/>
    </row>
    <row r="4">
      <c r="A4" s="79">
        <v>1.0</v>
      </c>
      <c r="B4" s="218"/>
      <c r="C4" s="218"/>
      <c r="D4" s="218"/>
      <c r="E4" s="218"/>
      <c r="F4" s="218"/>
      <c r="G4" s="218"/>
      <c r="H4" s="218"/>
      <c r="I4" s="218"/>
      <c r="J4" s="274"/>
    </row>
    <row r="5">
      <c r="A5" s="79">
        <v>2.0</v>
      </c>
      <c r="B5" s="218"/>
      <c r="C5" s="218"/>
      <c r="D5" s="218"/>
      <c r="E5" s="218"/>
      <c r="F5" s="218"/>
      <c r="G5" s="218"/>
      <c r="H5" s="218"/>
      <c r="I5" s="218"/>
      <c r="J5" s="274"/>
    </row>
    <row r="6">
      <c r="A6" s="79">
        <v>3.0</v>
      </c>
      <c r="B6" s="218"/>
      <c r="C6" s="218"/>
      <c r="D6" s="218"/>
      <c r="E6" s="218"/>
      <c r="F6" s="218"/>
      <c r="G6" s="218"/>
      <c r="H6" s="218"/>
      <c r="I6" s="218"/>
      <c r="J6" s="274"/>
    </row>
    <row r="7">
      <c r="A7" s="79">
        <v>4.0</v>
      </c>
      <c r="B7" s="167"/>
      <c r="C7" s="123"/>
      <c r="D7" s="166"/>
      <c r="E7" s="280"/>
      <c r="F7" s="223"/>
      <c r="G7" s="217"/>
      <c r="H7" s="300"/>
      <c r="I7" s="300"/>
      <c r="J7" s="274"/>
    </row>
    <row r="8">
      <c r="A8" s="79">
        <v>5.0</v>
      </c>
      <c r="B8" s="187"/>
      <c r="C8" s="123"/>
      <c r="D8" s="123"/>
      <c r="E8" s="280"/>
      <c r="F8" s="223"/>
      <c r="G8" s="217"/>
      <c r="H8" s="113"/>
      <c r="I8" s="217"/>
      <c r="J8" s="274"/>
    </row>
    <row r="9">
      <c r="A9" s="79">
        <v>6.0</v>
      </c>
      <c r="B9" s="123"/>
      <c r="C9" s="123"/>
      <c r="D9" s="166"/>
      <c r="E9" s="303"/>
      <c r="F9" s="223"/>
      <c r="G9" s="217"/>
      <c r="H9" s="113"/>
      <c r="I9" s="113"/>
      <c r="J9" s="274"/>
    </row>
    <row r="10">
      <c r="A10" s="79">
        <v>7.0</v>
      </c>
      <c r="B10" s="123"/>
      <c r="C10" s="113"/>
      <c r="D10" s="217"/>
      <c r="E10" s="280"/>
      <c r="F10" s="223"/>
      <c r="G10" s="217"/>
      <c r="H10" s="113"/>
      <c r="I10" s="113"/>
      <c r="J10" s="274"/>
    </row>
    <row r="11">
      <c r="A11" s="79">
        <v>8.0</v>
      </c>
      <c r="B11" s="123"/>
      <c r="C11" s="249"/>
      <c r="D11" s="217"/>
      <c r="E11" s="280"/>
      <c r="F11" s="223"/>
      <c r="G11" s="217"/>
      <c r="H11" s="113"/>
      <c r="I11" s="217"/>
      <c r="J11" s="274"/>
    </row>
    <row r="12">
      <c r="A12" s="79">
        <v>9.0</v>
      </c>
      <c r="B12" s="215"/>
      <c r="C12" s="215"/>
      <c r="D12" s="215"/>
      <c r="E12" s="215"/>
      <c r="F12" s="223"/>
      <c r="G12" s="217"/>
      <c r="H12" s="215"/>
      <c r="I12" s="215"/>
      <c r="J12" s="224"/>
    </row>
    <row r="13">
      <c r="A13" s="79">
        <v>10.0</v>
      </c>
      <c r="B13" s="215"/>
      <c r="C13" s="215"/>
      <c r="D13" s="215"/>
      <c r="E13" s="215"/>
      <c r="F13" s="223"/>
      <c r="G13" s="217"/>
      <c r="H13" s="215"/>
      <c r="I13" s="215"/>
      <c r="J13" s="224"/>
    </row>
    <row r="14">
      <c r="A14" s="79">
        <v>11.0</v>
      </c>
      <c r="B14" s="215"/>
      <c r="C14" s="215"/>
      <c r="D14" s="215"/>
      <c r="E14" s="215"/>
      <c r="F14" s="223"/>
      <c r="G14" s="217"/>
      <c r="H14" s="215"/>
      <c r="I14" s="215"/>
      <c r="J14" s="224"/>
    </row>
    <row r="15">
      <c r="A15" s="79">
        <v>12.0</v>
      </c>
      <c r="B15" s="215"/>
      <c r="C15" s="215"/>
      <c r="D15" s="215"/>
      <c r="E15" s="215"/>
      <c r="F15" s="223"/>
      <c r="G15" s="217"/>
      <c r="H15" s="215"/>
      <c r="I15" s="215"/>
      <c r="J15" s="224"/>
    </row>
    <row r="16">
      <c r="A16" s="153">
        <v>13.0</v>
      </c>
      <c r="B16" s="218"/>
      <c r="C16" s="218"/>
      <c r="D16" s="218"/>
      <c r="E16" s="218"/>
      <c r="F16" s="138"/>
      <c r="G16" s="217"/>
      <c r="H16" s="218"/>
      <c r="I16" s="218"/>
      <c r="J16" s="224"/>
    </row>
    <row r="17">
      <c r="A17" s="312" t="s">
        <v>123</v>
      </c>
      <c r="B17" s="39"/>
      <c r="C17" s="39"/>
      <c r="D17" s="39"/>
      <c r="E17" s="39"/>
      <c r="F17" s="39"/>
      <c r="G17" s="39"/>
      <c r="H17" s="39"/>
      <c r="I17" s="37"/>
      <c r="J17" s="274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74"/>
    </row>
    <row r="19">
      <c r="A19" s="79">
        <v>1.0</v>
      </c>
      <c r="B19" s="167" t="s">
        <v>723</v>
      </c>
      <c r="C19" s="167" t="s">
        <v>724</v>
      </c>
      <c r="D19" s="187" t="s">
        <v>46</v>
      </c>
      <c r="E19" s="163" t="s">
        <v>725</v>
      </c>
      <c r="F19" s="223" t="s">
        <v>147</v>
      </c>
      <c r="G19" s="217">
        <v>2016.0</v>
      </c>
      <c r="H19" s="300" t="s">
        <v>727</v>
      </c>
      <c r="I19" s="300" t="s">
        <v>403</v>
      </c>
      <c r="J19" s="315"/>
    </row>
    <row r="20">
      <c r="A20" s="79">
        <v>2.0</v>
      </c>
      <c r="B20" s="167" t="s">
        <v>728</v>
      </c>
      <c r="C20" s="167" t="s">
        <v>729</v>
      </c>
      <c r="D20" s="187" t="s">
        <v>46</v>
      </c>
      <c r="E20" s="163" t="s">
        <v>730</v>
      </c>
      <c r="F20" s="223" t="s">
        <v>147</v>
      </c>
      <c r="G20" s="217">
        <v>2016.0</v>
      </c>
      <c r="H20" s="300" t="s">
        <v>731</v>
      </c>
      <c r="I20" s="300" t="s">
        <v>403</v>
      </c>
      <c r="J20" s="174"/>
    </row>
    <row r="21">
      <c r="A21" s="79">
        <v>3.0</v>
      </c>
      <c r="B21" s="167" t="s">
        <v>732</v>
      </c>
      <c r="C21" s="167" t="s">
        <v>733</v>
      </c>
      <c r="D21" s="187" t="s">
        <v>46</v>
      </c>
      <c r="E21" s="163" t="s">
        <v>734</v>
      </c>
      <c r="F21" s="223" t="s">
        <v>147</v>
      </c>
      <c r="G21" s="217">
        <v>2016.0</v>
      </c>
      <c r="H21" s="300" t="s">
        <v>735</v>
      </c>
      <c r="I21" s="300" t="s">
        <v>403</v>
      </c>
      <c r="J21" s="174"/>
    </row>
    <row r="22">
      <c r="A22" s="79">
        <v>4.0</v>
      </c>
      <c r="B22" s="186"/>
      <c r="C22" s="262"/>
      <c r="D22" s="262"/>
      <c r="E22" s="262"/>
      <c r="F22" s="164"/>
      <c r="G22" s="262"/>
      <c r="H22" s="262"/>
      <c r="I22" s="317"/>
      <c r="J22" s="174"/>
    </row>
    <row r="23">
      <c r="A23" s="79">
        <v>5.0</v>
      </c>
      <c r="B23" s="186"/>
      <c r="C23" s="262"/>
      <c r="D23" s="262"/>
      <c r="E23" s="262"/>
      <c r="F23" s="164"/>
      <c r="G23" s="262"/>
      <c r="H23" s="262"/>
      <c r="I23" s="317"/>
      <c r="J23" s="174"/>
    </row>
    <row r="24">
      <c r="A24" s="79">
        <v>6.0</v>
      </c>
      <c r="B24" s="186"/>
      <c r="C24" s="262"/>
      <c r="D24" s="262"/>
      <c r="E24" s="262"/>
      <c r="F24" s="164"/>
      <c r="G24" s="262"/>
      <c r="H24" s="262"/>
      <c r="I24" s="317"/>
      <c r="J24" s="174"/>
    </row>
    <row r="25">
      <c r="A25" s="79">
        <v>7.0</v>
      </c>
      <c r="B25" s="301"/>
      <c r="C25" s="148"/>
      <c r="D25" s="148"/>
      <c r="E25" s="148"/>
      <c r="F25" s="138"/>
      <c r="G25" s="262"/>
      <c r="H25" s="148"/>
      <c r="I25" s="225"/>
      <c r="J25" s="274"/>
    </row>
    <row r="26">
      <c r="A26" s="79">
        <v>8.0</v>
      </c>
      <c r="B26" s="301"/>
      <c r="C26" s="148"/>
      <c r="D26" s="148"/>
      <c r="E26" s="148"/>
      <c r="F26" s="138"/>
      <c r="G26" s="262"/>
      <c r="H26" s="148"/>
      <c r="I26" s="225"/>
      <c r="J26" s="274"/>
    </row>
    <row r="27">
      <c r="A27" s="79">
        <v>9.0</v>
      </c>
      <c r="B27" s="301"/>
      <c r="C27" s="148"/>
      <c r="D27" s="148"/>
      <c r="E27" s="148"/>
      <c r="F27" s="138"/>
      <c r="G27" s="262"/>
      <c r="H27" s="148"/>
      <c r="I27" s="225"/>
      <c r="J27" s="274"/>
    </row>
    <row r="28">
      <c r="A28" s="79">
        <v>10.0</v>
      </c>
      <c r="B28" s="301"/>
      <c r="C28" s="148"/>
      <c r="D28" s="148"/>
      <c r="E28" s="148"/>
      <c r="F28" s="138"/>
      <c r="G28" s="262"/>
      <c r="H28" s="148"/>
      <c r="I28" s="225"/>
      <c r="J28" s="274"/>
    </row>
    <row r="29">
      <c r="A29" s="79">
        <v>11.0</v>
      </c>
      <c r="B29" s="301"/>
      <c r="C29" s="148"/>
      <c r="D29" s="148"/>
      <c r="E29" s="148"/>
      <c r="F29" s="138"/>
      <c r="G29" s="262"/>
      <c r="H29" s="148"/>
      <c r="I29" s="225"/>
      <c r="J29" s="274"/>
    </row>
    <row r="30">
      <c r="A30" s="79">
        <v>12.0</v>
      </c>
      <c r="B30" s="301"/>
      <c r="C30" s="148"/>
      <c r="D30" s="148"/>
      <c r="E30" s="148"/>
      <c r="F30" s="138"/>
      <c r="G30" s="148"/>
      <c r="H30" s="148"/>
      <c r="I30" s="225"/>
      <c r="J30" s="274"/>
    </row>
    <row r="31">
      <c r="A31" s="153">
        <v>13.0</v>
      </c>
      <c r="B31" s="301"/>
      <c r="C31" s="148"/>
      <c r="D31" s="148"/>
      <c r="E31" s="148"/>
      <c r="F31" s="138"/>
      <c r="G31" s="148"/>
      <c r="H31" s="148"/>
      <c r="I31" s="225"/>
      <c r="J31" s="274"/>
    </row>
    <row r="32">
      <c r="A32" s="312" t="s">
        <v>251</v>
      </c>
      <c r="B32" s="39"/>
      <c r="C32" s="39"/>
      <c r="D32" s="39"/>
      <c r="E32" s="39"/>
      <c r="F32" s="39"/>
      <c r="G32" s="39"/>
      <c r="H32" s="39"/>
      <c r="I32" s="37"/>
      <c r="J32" s="274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274"/>
    </row>
    <row r="34">
      <c r="A34" s="79">
        <v>1.0</v>
      </c>
      <c r="B34" s="183"/>
      <c r="C34" s="183"/>
      <c r="D34" s="287"/>
      <c r="E34" s="280"/>
      <c r="F34" s="223"/>
      <c r="G34" s="325"/>
      <c r="H34" s="276"/>
      <c r="I34" s="276"/>
      <c r="J34" s="274"/>
    </row>
    <row r="35">
      <c r="A35" s="79">
        <v>2.0</v>
      </c>
      <c r="B35" s="183"/>
      <c r="C35" s="183"/>
      <c r="D35" s="287"/>
      <c r="E35" s="280"/>
      <c r="F35" s="223"/>
      <c r="G35" s="325"/>
      <c r="H35" s="276"/>
      <c r="I35" s="276"/>
      <c r="J35" s="274"/>
    </row>
    <row r="36">
      <c r="A36" s="79">
        <v>3.0</v>
      </c>
      <c r="B36" s="183"/>
      <c r="C36" s="183"/>
      <c r="D36" s="287"/>
      <c r="E36" s="280"/>
      <c r="F36" s="223"/>
      <c r="G36" s="325"/>
      <c r="H36" s="276"/>
      <c r="I36" s="276"/>
      <c r="J36" s="274"/>
    </row>
    <row r="37">
      <c r="A37" s="79">
        <v>4.0</v>
      </c>
      <c r="B37" s="183"/>
      <c r="C37" s="183"/>
      <c r="D37" s="287"/>
      <c r="E37" s="280"/>
      <c r="F37" s="223"/>
      <c r="G37" s="325"/>
      <c r="H37" s="276"/>
      <c r="I37" s="276"/>
      <c r="J37" s="274"/>
    </row>
    <row r="38">
      <c r="A38" s="79">
        <v>5.0</v>
      </c>
      <c r="B38" s="183"/>
      <c r="C38" s="183"/>
      <c r="D38" s="287"/>
      <c r="E38" s="280"/>
      <c r="F38" s="223"/>
      <c r="G38" s="325"/>
      <c r="H38" s="276"/>
      <c r="I38" s="276"/>
      <c r="J38" s="274"/>
    </row>
    <row r="39">
      <c r="A39" s="79">
        <v>6.0</v>
      </c>
      <c r="B39" s="183"/>
      <c r="C39" s="183"/>
      <c r="D39" s="287"/>
      <c r="E39" s="280"/>
      <c r="F39" s="223"/>
      <c r="G39" s="325"/>
      <c r="H39" s="276"/>
      <c r="I39" s="276"/>
      <c r="J39" s="274"/>
    </row>
    <row r="40">
      <c r="A40" s="79">
        <v>7.0</v>
      </c>
      <c r="B40" s="183"/>
      <c r="C40" s="183"/>
      <c r="D40" s="287"/>
      <c r="E40" s="280"/>
      <c r="F40" s="223"/>
      <c r="G40" s="325"/>
      <c r="H40" s="276"/>
      <c r="I40" s="276"/>
      <c r="J40" s="274"/>
    </row>
    <row r="41">
      <c r="A41" s="79">
        <v>8.0</v>
      </c>
      <c r="B41" s="183"/>
      <c r="C41" s="183"/>
      <c r="D41" s="287"/>
      <c r="E41" s="280"/>
      <c r="F41" s="223"/>
      <c r="G41" s="325"/>
      <c r="H41" s="276"/>
      <c r="I41" s="276"/>
      <c r="J41" s="274"/>
    </row>
    <row r="42">
      <c r="A42" s="79">
        <v>9.0</v>
      </c>
      <c r="B42" s="183"/>
      <c r="C42" s="183"/>
      <c r="D42" s="287"/>
      <c r="E42" s="280"/>
      <c r="F42" s="223"/>
      <c r="G42" s="325"/>
      <c r="H42" s="276"/>
      <c r="I42" s="276"/>
      <c r="J42" s="274"/>
    </row>
    <row r="43">
      <c r="A43" s="79">
        <v>10.0</v>
      </c>
      <c r="B43" s="183"/>
      <c r="C43" s="183"/>
      <c r="D43" s="287"/>
      <c r="E43" s="280"/>
      <c r="F43" s="223"/>
      <c r="G43" s="325"/>
      <c r="H43" s="276"/>
      <c r="I43" s="276"/>
      <c r="J43" s="274"/>
    </row>
    <row r="44">
      <c r="A44" s="79">
        <v>11.0</v>
      </c>
      <c r="B44" s="183"/>
      <c r="C44" s="183"/>
      <c r="D44" s="287"/>
      <c r="E44" s="280"/>
      <c r="F44" s="223"/>
      <c r="G44" s="325"/>
      <c r="H44" s="276"/>
      <c r="I44" s="276"/>
      <c r="J44" s="274"/>
    </row>
    <row r="45">
      <c r="A45" s="79">
        <v>12.0</v>
      </c>
      <c r="B45" s="225"/>
      <c r="C45" s="225"/>
      <c r="D45" s="225"/>
      <c r="E45" s="225"/>
      <c r="F45" s="223"/>
      <c r="G45" s="325"/>
      <c r="H45" s="140"/>
      <c r="I45" s="225"/>
      <c r="J45" s="274"/>
    </row>
    <row r="46">
      <c r="A46" s="153">
        <v>13.0</v>
      </c>
      <c r="B46" s="225"/>
      <c r="C46" s="225"/>
      <c r="D46" s="225"/>
      <c r="E46" s="225"/>
      <c r="F46" s="223"/>
      <c r="G46" s="325"/>
      <c r="H46" s="140"/>
      <c r="I46" s="225"/>
      <c r="J46" s="274"/>
    </row>
    <row r="47">
      <c r="A47" s="258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19:F21">
      <formula1>"Acompanhamento na revista,Registro concedido,Aguardando Deposito"</formula1>
    </dataValidation>
  </dataValidations>
  <hyperlinks>
    <hyperlink r:id="rId1" ref="E19"/>
    <hyperlink r:id="rId2" ref="E20"/>
    <hyperlink r:id="rId3" ref="E21"/>
  </hyperlinks>
  <drawing r:id="rId4"/>
  <tableParts count="6">
    <tablePart r:id="rId11"/>
    <tablePart r:id="rId12"/>
    <tablePart r:id="rId13"/>
    <tablePart r:id="rId14"/>
    <tablePart r:id="rId15"/>
    <tablePart r:id="rId1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9.14"/>
    <col customWidth="1" min="3" max="3" width="21.14"/>
    <col customWidth="1" min="4" max="4" width="20.71"/>
    <col customWidth="1" min="5" max="5" width="24.71"/>
    <col customWidth="1" min="6" max="6" width="32.86"/>
    <col customWidth="1" min="7" max="7" width="21.43"/>
    <col customWidth="1" min="8" max="8" width="25.29"/>
    <col customWidth="1" min="9" max="9" width="34.14"/>
  </cols>
  <sheetData>
    <row r="1" ht="79.5" customHeight="1">
      <c r="A1" s="47" t="s">
        <v>726</v>
      </c>
      <c r="B1" s="39"/>
      <c r="C1" s="39"/>
      <c r="D1" s="39"/>
      <c r="E1" s="39"/>
      <c r="F1" s="39"/>
      <c r="G1" s="39"/>
      <c r="H1" s="39"/>
      <c r="I1" s="39"/>
      <c r="J1" s="37"/>
    </row>
    <row r="2">
      <c r="A2" s="286" t="s">
        <v>13</v>
      </c>
      <c r="B2" s="39"/>
      <c r="C2" s="39"/>
      <c r="D2" s="39"/>
      <c r="E2" s="39"/>
      <c r="F2" s="39"/>
      <c r="G2" s="39"/>
      <c r="H2" s="39"/>
      <c r="I2" s="37"/>
      <c r="J2" s="274"/>
    </row>
    <row r="3">
      <c r="A3" s="73" t="s">
        <v>15</v>
      </c>
      <c r="B3" s="73" t="s">
        <v>16</v>
      </c>
      <c r="C3" s="73" t="s">
        <v>17</v>
      </c>
      <c r="D3" s="73" t="s">
        <v>18</v>
      </c>
      <c r="E3" s="73" t="s">
        <v>19</v>
      </c>
      <c r="F3" s="73" t="s">
        <v>20</v>
      </c>
      <c r="G3" s="55" t="s">
        <v>21</v>
      </c>
      <c r="H3" s="55" t="s">
        <v>24</v>
      </c>
      <c r="I3" s="55" t="s">
        <v>25</v>
      </c>
      <c r="J3" s="240"/>
    </row>
    <row r="4">
      <c r="A4" s="79">
        <v>1.0</v>
      </c>
      <c r="B4" s="115"/>
      <c r="C4" s="115"/>
      <c r="D4" s="332"/>
      <c r="E4" s="115"/>
      <c r="F4" s="230"/>
      <c r="G4" s="115"/>
      <c r="H4" s="115"/>
      <c r="I4" s="115"/>
      <c r="J4" s="274"/>
    </row>
    <row r="5">
      <c r="A5" s="79">
        <v>2.0</v>
      </c>
      <c r="B5" s="115"/>
      <c r="C5" s="115"/>
      <c r="D5" s="115"/>
      <c r="E5" s="115"/>
      <c r="F5" s="230"/>
      <c r="G5" s="115"/>
      <c r="H5" s="115"/>
      <c r="I5" s="115"/>
      <c r="J5" s="274"/>
    </row>
    <row r="6">
      <c r="A6" s="79">
        <v>3.0</v>
      </c>
      <c r="B6" s="115"/>
      <c r="C6" s="115"/>
      <c r="D6" s="115"/>
      <c r="E6" s="115"/>
      <c r="F6" s="230"/>
      <c r="G6" s="115"/>
      <c r="H6" s="115"/>
      <c r="I6" s="115"/>
      <c r="J6" s="274"/>
    </row>
    <row r="7">
      <c r="A7" s="79">
        <v>4.0</v>
      </c>
      <c r="B7" s="167"/>
      <c r="C7" s="123"/>
      <c r="D7" s="166"/>
      <c r="E7" s="280"/>
      <c r="F7" s="230"/>
      <c r="G7" s="217"/>
      <c r="H7" s="300"/>
      <c r="I7" s="300"/>
      <c r="J7" s="274"/>
    </row>
    <row r="8">
      <c r="A8" s="79">
        <v>5.0</v>
      </c>
      <c r="B8" s="323"/>
      <c r="C8" s="324"/>
      <c r="D8" s="123"/>
      <c r="E8" s="280"/>
      <c r="F8" s="230"/>
      <c r="G8" s="217"/>
      <c r="H8" s="113"/>
      <c r="I8" s="219"/>
      <c r="J8" s="274"/>
    </row>
    <row r="9">
      <c r="A9" s="79">
        <v>6.0</v>
      </c>
      <c r="B9" s="123"/>
      <c r="C9" s="123"/>
      <c r="D9" s="166"/>
      <c r="E9" s="303"/>
      <c r="F9" s="230"/>
      <c r="G9" s="217"/>
      <c r="H9" s="113"/>
      <c r="I9" s="113"/>
      <c r="J9" s="274"/>
    </row>
    <row r="10">
      <c r="A10" s="79">
        <v>7.0</v>
      </c>
      <c r="B10" s="123"/>
      <c r="C10" s="113"/>
      <c r="D10" s="217"/>
      <c r="E10" s="280"/>
      <c r="F10" s="230"/>
      <c r="G10" s="217"/>
      <c r="H10" s="113"/>
      <c r="I10" s="113"/>
      <c r="J10" s="274"/>
    </row>
    <row r="11">
      <c r="A11" s="79">
        <v>8.0</v>
      </c>
      <c r="B11" s="123"/>
      <c r="C11" s="249"/>
      <c r="D11" s="217"/>
      <c r="E11" s="280"/>
      <c r="F11" s="230"/>
      <c r="G11" s="217"/>
      <c r="H11" s="113"/>
      <c r="I11" s="217"/>
      <c r="J11" s="274"/>
    </row>
    <row r="12">
      <c r="A12" s="79">
        <v>9.0</v>
      </c>
      <c r="B12" s="215"/>
      <c r="C12" s="215"/>
      <c r="D12" s="215"/>
      <c r="E12" s="215"/>
      <c r="F12" s="230"/>
      <c r="G12" s="217"/>
      <c r="H12" s="215"/>
      <c r="I12" s="215"/>
      <c r="J12" s="224"/>
    </row>
    <row r="13">
      <c r="A13" s="79">
        <v>10.0</v>
      </c>
      <c r="B13" s="215"/>
      <c r="C13" s="215"/>
      <c r="D13" s="215"/>
      <c r="E13" s="215"/>
      <c r="F13" s="223"/>
      <c r="G13" s="217"/>
      <c r="H13" s="215"/>
      <c r="I13" s="215"/>
      <c r="J13" s="224"/>
    </row>
    <row r="14">
      <c r="A14" s="79">
        <v>11.0</v>
      </c>
      <c r="B14" s="215"/>
      <c r="C14" s="215"/>
      <c r="D14" s="215"/>
      <c r="E14" s="215"/>
      <c r="F14" s="223"/>
      <c r="G14" s="217"/>
      <c r="H14" s="215"/>
      <c r="I14" s="215"/>
      <c r="J14" s="224"/>
    </row>
    <row r="15">
      <c r="A15" s="79">
        <v>12.0</v>
      </c>
      <c r="B15" s="215"/>
      <c r="C15" s="215"/>
      <c r="D15" s="215"/>
      <c r="E15" s="215"/>
      <c r="F15" s="223"/>
      <c r="G15" s="217"/>
      <c r="H15" s="215"/>
      <c r="I15" s="215"/>
      <c r="J15" s="224"/>
    </row>
    <row r="16">
      <c r="A16" s="153">
        <v>13.0</v>
      </c>
      <c r="B16" s="218"/>
      <c r="C16" s="218"/>
      <c r="D16" s="218"/>
      <c r="E16" s="218"/>
      <c r="F16" s="138"/>
      <c r="G16" s="217"/>
      <c r="H16" s="218"/>
      <c r="I16" s="218"/>
      <c r="J16" s="224"/>
    </row>
    <row r="17">
      <c r="A17" s="312" t="s">
        <v>123</v>
      </c>
      <c r="B17" s="39"/>
      <c r="C17" s="39"/>
      <c r="D17" s="39"/>
      <c r="E17" s="39"/>
      <c r="F17" s="39"/>
      <c r="G17" s="39"/>
      <c r="H17" s="39"/>
      <c r="I17" s="37"/>
      <c r="J17" s="274"/>
    </row>
    <row r="18">
      <c r="A18" s="73" t="s">
        <v>15</v>
      </c>
      <c r="B18" s="73" t="s">
        <v>16</v>
      </c>
      <c r="C18" s="73" t="s">
        <v>17</v>
      </c>
      <c r="D18" s="73" t="s">
        <v>18</v>
      </c>
      <c r="E18" s="73" t="s">
        <v>19</v>
      </c>
      <c r="F18" s="73" t="s">
        <v>20</v>
      </c>
      <c r="G18" s="55" t="s">
        <v>21</v>
      </c>
      <c r="H18" s="55" t="s">
        <v>24</v>
      </c>
      <c r="I18" s="55" t="s">
        <v>25</v>
      </c>
      <c r="J18" s="240"/>
    </row>
    <row r="19">
      <c r="A19" s="79">
        <v>1.0</v>
      </c>
      <c r="B19" s="123" t="s">
        <v>738</v>
      </c>
      <c r="C19" s="123" t="s">
        <v>739</v>
      </c>
      <c r="D19" s="302" t="s">
        <v>46</v>
      </c>
      <c r="E19" s="193" t="s">
        <v>740</v>
      </c>
      <c r="F19" s="223" t="s">
        <v>147</v>
      </c>
      <c r="G19" s="338">
        <v>2015.0</v>
      </c>
      <c r="H19" s="113" t="s">
        <v>742</v>
      </c>
      <c r="I19" s="338" t="s">
        <v>403</v>
      </c>
      <c r="J19" s="224"/>
    </row>
    <row r="20">
      <c r="A20" s="227">
        <v>2.0</v>
      </c>
      <c r="B20" s="187" t="s">
        <v>743</v>
      </c>
      <c r="C20" s="167" t="s">
        <v>191</v>
      </c>
      <c r="D20" s="280" t="s">
        <v>46</v>
      </c>
      <c r="E20" s="193" t="s">
        <v>195</v>
      </c>
      <c r="F20" s="223" t="s">
        <v>147</v>
      </c>
      <c r="G20" s="325">
        <v>2015.0</v>
      </c>
      <c r="H20" s="340" t="s">
        <v>744</v>
      </c>
      <c r="I20" s="325" t="s">
        <v>403</v>
      </c>
      <c r="J20" s="224"/>
    </row>
    <row r="21">
      <c r="A21" s="79">
        <v>3.0</v>
      </c>
      <c r="B21" s="167"/>
      <c r="C21" s="167"/>
      <c r="D21" s="187"/>
      <c r="E21" s="280"/>
      <c r="F21" s="223"/>
      <c r="G21" s="217"/>
      <c r="H21" s="300"/>
      <c r="I21" s="300"/>
      <c r="J21" s="174"/>
    </row>
    <row r="22">
      <c r="A22" s="79">
        <v>4.0</v>
      </c>
      <c r="B22" s="328"/>
      <c r="C22" s="91"/>
      <c r="D22" s="91"/>
      <c r="E22" s="91"/>
      <c r="F22" s="230"/>
      <c r="G22" s="91"/>
      <c r="H22" s="262"/>
      <c r="I22" s="252"/>
      <c r="J22" s="330"/>
    </row>
    <row r="23">
      <c r="A23" s="79">
        <v>5.0</v>
      </c>
      <c r="B23" s="328"/>
      <c r="C23" s="91"/>
      <c r="D23" s="91"/>
      <c r="E23" s="91"/>
      <c r="F23" s="230"/>
      <c r="G23" s="91"/>
      <c r="H23" s="262"/>
      <c r="I23" s="252"/>
      <c r="J23" s="330"/>
    </row>
    <row r="24">
      <c r="A24" s="79">
        <v>6.0</v>
      </c>
      <c r="B24" s="328"/>
      <c r="C24" s="91"/>
      <c r="D24" s="91"/>
      <c r="E24" s="91"/>
      <c r="F24" s="230"/>
      <c r="G24" s="91"/>
      <c r="H24" s="262"/>
      <c r="I24" s="252"/>
      <c r="J24" s="330"/>
    </row>
    <row r="25">
      <c r="A25" s="79">
        <v>7.0</v>
      </c>
      <c r="B25" s="301"/>
      <c r="C25" s="148"/>
      <c r="D25" s="148"/>
      <c r="E25" s="148"/>
      <c r="F25" s="230"/>
      <c r="G25" s="91"/>
      <c r="H25" s="148"/>
      <c r="I25" s="225"/>
      <c r="J25" s="274"/>
    </row>
    <row r="26">
      <c r="A26" s="79">
        <v>8.0</v>
      </c>
      <c r="B26" s="301"/>
      <c r="C26" s="148"/>
      <c r="D26" s="148"/>
      <c r="E26" s="148"/>
      <c r="F26" s="230"/>
      <c r="G26" s="91"/>
      <c r="H26" s="148"/>
      <c r="I26" s="225"/>
      <c r="J26" s="274"/>
    </row>
    <row r="27">
      <c r="A27" s="79">
        <v>9.0</v>
      </c>
      <c r="B27" s="301"/>
      <c r="C27" s="148"/>
      <c r="D27" s="148"/>
      <c r="E27" s="148"/>
      <c r="F27" s="230"/>
      <c r="G27" s="91"/>
      <c r="H27" s="148"/>
      <c r="I27" s="225"/>
      <c r="J27" s="274"/>
    </row>
    <row r="28">
      <c r="A28" s="79">
        <v>10.0</v>
      </c>
      <c r="B28" s="301"/>
      <c r="C28" s="148"/>
      <c r="D28" s="148"/>
      <c r="E28" s="148"/>
      <c r="F28" s="230"/>
      <c r="G28" s="91"/>
      <c r="H28" s="148"/>
      <c r="I28" s="225"/>
      <c r="J28" s="274"/>
    </row>
    <row r="29">
      <c r="A29" s="79">
        <v>11.0</v>
      </c>
      <c r="B29" s="301"/>
      <c r="C29" s="148"/>
      <c r="D29" s="148"/>
      <c r="E29" s="148"/>
      <c r="F29" s="230"/>
      <c r="G29" s="91"/>
      <c r="H29" s="148"/>
      <c r="I29" s="225"/>
      <c r="J29" s="274"/>
    </row>
    <row r="30">
      <c r="A30" s="79">
        <v>12.0</v>
      </c>
      <c r="B30" s="301"/>
      <c r="C30" s="148"/>
      <c r="D30" s="148"/>
      <c r="E30" s="148"/>
      <c r="F30" s="138"/>
      <c r="G30" s="148"/>
      <c r="H30" s="148"/>
      <c r="I30" s="225"/>
      <c r="J30" s="274"/>
    </row>
    <row r="31">
      <c r="A31" s="153">
        <v>13.0</v>
      </c>
      <c r="B31" s="301"/>
      <c r="C31" s="148"/>
      <c r="D31" s="148"/>
      <c r="E31" s="148"/>
      <c r="F31" s="138"/>
      <c r="G31" s="148"/>
      <c r="H31" s="148"/>
      <c r="I31" s="225"/>
      <c r="J31" s="274"/>
    </row>
    <row r="32">
      <c r="A32" s="312" t="s">
        <v>251</v>
      </c>
      <c r="B32" s="39"/>
      <c r="C32" s="39"/>
      <c r="D32" s="39"/>
      <c r="E32" s="39"/>
      <c r="F32" s="39"/>
      <c r="G32" s="39"/>
      <c r="H32" s="39"/>
      <c r="I32" s="37"/>
      <c r="J32" s="274"/>
    </row>
    <row r="33">
      <c r="A33" s="73" t="s">
        <v>15</v>
      </c>
      <c r="B33" s="73" t="s">
        <v>16</v>
      </c>
      <c r="C33" s="73" t="s">
        <v>17</v>
      </c>
      <c r="D33" s="73" t="s">
        <v>18</v>
      </c>
      <c r="E33" s="73" t="s">
        <v>19</v>
      </c>
      <c r="F33" s="73" t="s">
        <v>20</v>
      </c>
      <c r="G33" s="55" t="s">
        <v>21</v>
      </c>
      <c r="H33" s="55" t="s">
        <v>24</v>
      </c>
      <c r="I33" s="55" t="s">
        <v>25</v>
      </c>
      <c r="J33" s="240"/>
    </row>
    <row r="34">
      <c r="A34" s="79">
        <v>1.0</v>
      </c>
      <c r="B34" s="183"/>
      <c r="C34" s="183"/>
      <c r="D34" s="287"/>
      <c r="E34" s="280"/>
      <c r="F34" s="223"/>
      <c r="G34" s="325"/>
      <c r="H34" s="276"/>
      <c r="I34" s="276"/>
      <c r="J34" s="274"/>
    </row>
    <row r="35">
      <c r="A35" s="79">
        <v>2.0</v>
      </c>
      <c r="B35" s="183"/>
      <c r="C35" s="183"/>
      <c r="D35" s="287"/>
      <c r="E35" s="280"/>
      <c r="F35" s="223"/>
      <c r="G35" s="325"/>
      <c r="H35" s="276"/>
      <c r="I35" s="276"/>
      <c r="J35" s="274"/>
    </row>
    <row r="36">
      <c r="A36" s="79">
        <v>3.0</v>
      </c>
      <c r="B36" s="183"/>
      <c r="C36" s="183"/>
      <c r="D36" s="287"/>
      <c r="E36" s="280"/>
      <c r="F36" s="223"/>
      <c r="G36" s="325"/>
      <c r="H36" s="276"/>
      <c r="I36" s="276"/>
      <c r="J36" s="274"/>
    </row>
    <row r="37">
      <c r="A37" s="79">
        <v>4.0</v>
      </c>
      <c r="B37" s="183"/>
      <c r="C37" s="183"/>
      <c r="D37" s="287"/>
      <c r="E37" s="280"/>
      <c r="F37" s="223"/>
      <c r="G37" s="325"/>
      <c r="H37" s="276"/>
      <c r="I37" s="276"/>
      <c r="J37" s="274"/>
    </row>
    <row r="38">
      <c r="A38" s="79">
        <v>5.0</v>
      </c>
      <c r="B38" s="183"/>
      <c r="C38" s="183"/>
      <c r="D38" s="287"/>
      <c r="E38" s="280"/>
      <c r="F38" s="223"/>
      <c r="G38" s="325"/>
      <c r="H38" s="276"/>
      <c r="I38" s="276"/>
      <c r="J38" s="274"/>
    </row>
    <row r="39">
      <c r="A39" s="79">
        <v>6.0</v>
      </c>
      <c r="B39" s="183"/>
      <c r="C39" s="183"/>
      <c r="D39" s="287"/>
      <c r="E39" s="280"/>
      <c r="F39" s="223"/>
      <c r="G39" s="325"/>
      <c r="H39" s="276"/>
      <c r="I39" s="276"/>
      <c r="J39" s="274"/>
    </row>
    <row r="40">
      <c r="A40" s="79">
        <v>7.0</v>
      </c>
      <c r="B40" s="183"/>
      <c r="C40" s="183"/>
      <c r="D40" s="287"/>
      <c r="E40" s="280"/>
      <c r="F40" s="223"/>
      <c r="G40" s="325"/>
      <c r="H40" s="276"/>
      <c r="I40" s="276"/>
      <c r="J40" s="274"/>
    </row>
    <row r="41">
      <c r="A41" s="79">
        <v>8.0</v>
      </c>
      <c r="B41" s="183"/>
      <c r="C41" s="183"/>
      <c r="D41" s="287"/>
      <c r="E41" s="280"/>
      <c r="F41" s="223"/>
      <c r="G41" s="325"/>
      <c r="H41" s="276"/>
      <c r="I41" s="276"/>
      <c r="J41" s="274"/>
    </row>
    <row r="42">
      <c r="A42" s="79">
        <v>9.0</v>
      </c>
      <c r="B42" s="183"/>
      <c r="C42" s="183"/>
      <c r="D42" s="287"/>
      <c r="E42" s="280"/>
      <c r="F42" s="223"/>
      <c r="G42" s="325"/>
      <c r="H42" s="276"/>
      <c r="I42" s="276"/>
      <c r="J42" s="274"/>
    </row>
    <row r="43">
      <c r="A43" s="79">
        <v>10.0</v>
      </c>
      <c r="B43" s="183"/>
      <c r="C43" s="183"/>
      <c r="D43" s="287"/>
      <c r="E43" s="280"/>
      <c r="F43" s="223"/>
      <c r="G43" s="325"/>
      <c r="H43" s="276"/>
      <c r="I43" s="276"/>
      <c r="J43" s="274"/>
    </row>
    <row r="44">
      <c r="A44" s="79">
        <v>11.0</v>
      </c>
      <c r="B44" s="183"/>
      <c r="C44" s="183"/>
      <c r="D44" s="287"/>
      <c r="E44" s="280"/>
      <c r="F44" s="223"/>
      <c r="G44" s="325"/>
      <c r="H44" s="276"/>
      <c r="I44" s="276"/>
      <c r="J44" s="274"/>
    </row>
    <row r="45">
      <c r="A45" s="79">
        <v>12.0</v>
      </c>
      <c r="B45" s="225"/>
      <c r="C45" s="225"/>
      <c r="D45" s="225"/>
      <c r="E45" s="225"/>
      <c r="F45" s="223"/>
      <c r="G45" s="325"/>
      <c r="H45" s="140"/>
      <c r="I45" s="225"/>
      <c r="J45" s="274"/>
    </row>
    <row r="46">
      <c r="A46" s="153">
        <v>13.0</v>
      </c>
      <c r="B46" s="225"/>
      <c r="C46" s="225"/>
      <c r="D46" s="225"/>
      <c r="E46" s="225"/>
      <c r="F46" s="223"/>
      <c r="G46" s="325"/>
      <c r="H46" s="140"/>
      <c r="I46" s="225"/>
      <c r="J46" s="274"/>
    </row>
    <row r="47">
      <c r="A47" s="258"/>
      <c r="B47" s="39"/>
      <c r="C47" s="39"/>
      <c r="D47" s="39"/>
      <c r="E47" s="39"/>
      <c r="F47" s="39"/>
      <c r="G47" s="39"/>
      <c r="H47" s="39"/>
      <c r="I47" s="39"/>
      <c r="J47" s="37"/>
    </row>
  </sheetData>
  <mergeCells count="5">
    <mergeCell ref="A1:J1"/>
    <mergeCell ref="A2:I2"/>
    <mergeCell ref="A17:I17"/>
    <mergeCell ref="A32:I32"/>
    <mergeCell ref="A47:J47"/>
  </mergeCells>
  <dataValidations>
    <dataValidation type="list" allowBlank="1" showErrorMessage="1" sqref="F19:F20">
      <formula1>"Acompanhamento na revista,Registro concedido,Aguardando Deposito"</formula1>
    </dataValidation>
  </dataValidations>
  <hyperlinks>
    <hyperlink r:id="rId1" ref="H20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63.29"/>
    <col customWidth="1" min="3" max="3" width="44.71"/>
    <col customWidth="1" min="4" max="4" width="26.86"/>
    <col customWidth="1" min="5" max="5" width="35.71"/>
    <col customWidth="1" min="6" max="6" width="32.0"/>
    <col customWidth="1" min="7" max="7" width="23.14"/>
  </cols>
  <sheetData>
    <row r="1">
      <c r="A1" s="1" t="s">
        <v>736</v>
      </c>
      <c r="B1" s="2"/>
      <c r="C1" s="2"/>
      <c r="D1" s="2"/>
      <c r="E1" s="2"/>
      <c r="F1" s="3"/>
      <c r="G1" s="333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</row>
    <row r="2">
      <c r="A2" s="5"/>
      <c r="F2" s="6"/>
      <c r="G2" s="333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</row>
    <row r="3">
      <c r="A3" s="5"/>
      <c r="F3" s="6"/>
      <c r="G3" s="333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</row>
    <row r="4">
      <c r="A4" s="5"/>
      <c r="F4" s="6"/>
      <c r="G4" s="333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</row>
    <row r="5">
      <c r="A5" s="5"/>
      <c r="F5" s="6"/>
      <c r="G5" s="333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</row>
    <row r="6">
      <c r="A6" s="7"/>
      <c r="B6" s="8"/>
      <c r="C6" s="8"/>
      <c r="D6" s="8"/>
      <c r="E6" s="8"/>
      <c r="F6" s="9"/>
      <c r="G6" s="333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</row>
    <row r="7" ht="17.25" customHeight="1">
      <c r="A7" s="335"/>
      <c r="B7" s="336"/>
      <c r="C7" s="336"/>
      <c r="D7" s="336"/>
      <c r="E7" s="336"/>
      <c r="F7" s="337"/>
      <c r="G7" s="333"/>
      <c r="H7" s="334"/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</row>
    <row r="8" ht="17.25" customHeight="1">
      <c r="A8" s="339" t="s">
        <v>741</v>
      </c>
      <c r="B8" s="14"/>
      <c r="C8" s="14"/>
      <c r="D8" s="14"/>
      <c r="E8" s="14"/>
      <c r="F8" s="15"/>
      <c r="G8" s="333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</row>
    <row r="9">
      <c r="A9" s="341" t="s">
        <v>9</v>
      </c>
      <c r="B9" s="49"/>
      <c r="C9" s="49"/>
      <c r="D9" s="49"/>
      <c r="E9" s="49"/>
      <c r="F9" s="52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</row>
    <row r="10">
      <c r="A10" s="342" t="s">
        <v>15</v>
      </c>
      <c r="B10" s="343" t="s">
        <v>745</v>
      </c>
      <c r="C10" s="343" t="s">
        <v>746</v>
      </c>
      <c r="D10" s="342" t="s">
        <v>18</v>
      </c>
      <c r="E10" s="342" t="s">
        <v>19</v>
      </c>
      <c r="F10" s="342" t="s">
        <v>20</v>
      </c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</row>
    <row r="11">
      <c r="A11" s="345">
        <v>1.0</v>
      </c>
      <c r="B11" s="345" t="s">
        <v>747</v>
      </c>
      <c r="C11" s="347" t="s">
        <v>191</v>
      </c>
      <c r="D11" s="345" t="s">
        <v>46</v>
      </c>
      <c r="E11" s="348" t="s">
        <v>195</v>
      </c>
      <c r="F11" s="349" t="s">
        <v>748</v>
      </c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</row>
    <row r="12">
      <c r="A12" s="345">
        <v>2.0</v>
      </c>
      <c r="B12" s="350" t="s">
        <v>749</v>
      </c>
      <c r="C12" s="347" t="s">
        <v>191</v>
      </c>
      <c r="D12" s="345" t="s">
        <v>46</v>
      </c>
      <c r="E12" s="348" t="s">
        <v>195</v>
      </c>
      <c r="F12" s="349" t="s">
        <v>748</v>
      </c>
      <c r="G12" s="334"/>
      <c r="H12" s="33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</row>
    <row r="13">
      <c r="A13" s="333"/>
      <c r="B13" s="333"/>
      <c r="C13" s="333"/>
      <c r="D13" s="333"/>
      <c r="E13" s="333"/>
      <c r="F13" s="333"/>
      <c r="G13" s="333"/>
      <c r="H13" s="334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</row>
    <row r="14">
      <c r="A14" s="351" t="s">
        <v>750</v>
      </c>
      <c r="B14" s="49"/>
      <c r="C14" s="49"/>
      <c r="D14" s="49"/>
      <c r="E14" s="49"/>
      <c r="F14" s="52"/>
      <c r="G14" s="333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</row>
    <row r="15">
      <c r="A15" s="341" t="s">
        <v>9</v>
      </c>
      <c r="B15" s="49"/>
      <c r="C15" s="49"/>
      <c r="D15" s="49"/>
      <c r="E15" s="49"/>
      <c r="F15" s="52"/>
      <c r="G15" s="333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</row>
    <row r="16">
      <c r="A16" s="342" t="s">
        <v>15</v>
      </c>
      <c r="B16" s="343" t="s">
        <v>745</v>
      </c>
      <c r="C16" s="343" t="s">
        <v>746</v>
      </c>
      <c r="D16" s="342" t="s">
        <v>18</v>
      </c>
      <c r="E16" s="342" t="s">
        <v>19</v>
      </c>
      <c r="F16" s="342" t="s">
        <v>20</v>
      </c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</row>
    <row r="17">
      <c r="A17" s="350">
        <v>1.0</v>
      </c>
      <c r="B17" s="345" t="s">
        <v>751</v>
      </c>
      <c r="C17" s="350" t="s">
        <v>752</v>
      </c>
      <c r="D17" s="345" t="s">
        <v>46</v>
      </c>
      <c r="E17" s="352" t="str">
        <f>HYPERLINK("mailto:marcilio@ifal.edu.br","marcilio@ifal.edu.br")</f>
        <v>marcilio@ifal.edu.br</v>
      </c>
      <c r="F17" s="349" t="s">
        <v>748</v>
      </c>
      <c r="G17" s="334"/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</row>
    <row r="18">
      <c r="A18" s="350">
        <v>2.0</v>
      </c>
      <c r="B18" s="345" t="s">
        <v>753</v>
      </c>
      <c r="C18" s="347" t="s">
        <v>754</v>
      </c>
      <c r="D18" s="345" t="s">
        <v>46</v>
      </c>
      <c r="E18" s="352" t="str">
        <f>HYPERLINK("mailto:edison@ifal.edu.br","edison@ifal.edu.br")</f>
        <v>edison@ifal.edu.br</v>
      </c>
      <c r="F18" s="349" t="s">
        <v>748</v>
      </c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</row>
    <row r="19">
      <c r="A19" s="350">
        <v>3.0</v>
      </c>
      <c r="B19" s="345" t="s">
        <v>755</v>
      </c>
      <c r="C19" s="350" t="s">
        <v>756</v>
      </c>
      <c r="D19" s="345" t="s">
        <v>46</v>
      </c>
      <c r="E19" s="352" t="str">
        <f>HYPERLINK("mailto:joel@ifal.edu.br","joel@ifal.edu.br")</f>
        <v>joel@ifal.edu.br</v>
      </c>
      <c r="F19" s="349" t="s">
        <v>748</v>
      </c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</row>
    <row r="20">
      <c r="A20" s="333"/>
      <c r="B20" s="333"/>
      <c r="C20" s="333"/>
      <c r="D20" s="333"/>
      <c r="E20" s="333"/>
      <c r="F20" s="333"/>
      <c r="G20" s="333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</row>
    <row r="21">
      <c r="A21" s="351" t="s">
        <v>757</v>
      </c>
      <c r="B21" s="49"/>
      <c r="C21" s="49"/>
      <c r="D21" s="49"/>
      <c r="E21" s="49"/>
      <c r="F21" s="52"/>
      <c r="G21" s="333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</row>
    <row r="22">
      <c r="A22" s="341" t="s">
        <v>5</v>
      </c>
      <c r="B22" s="49"/>
      <c r="C22" s="49"/>
      <c r="D22" s="49"/>
      <c r="E22" s="49"/>
      <c r="F22" s="52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</row>
    <row r="23">
      <c r="A23" s="342" t="s">
        <v>15</v>
      </c>
      <c r="B23" s="343" t="s">
        <v>758</v>
      </c>
      <c r="C23" s="343" t="s">
        <v>746</v>
      </c>
      <c r="D23" s="342" t="s">
        <v>18</v>
      </c>
      <c r="E23" s="342" t="s">
        <v>19</v>
      </c>
      <c r="F23" s="343" t="s">
        <v>759</v>
      </c>
      <c r="G23" s="353"/>
      <c r="H23" s="334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</row>
    <row r="24">
      <c r="A24" s="350">
        <v>1.0</v>
      </c>
      <c r="B24" s="354" t="s">
        <v>760</v>
      </c>
      <c r="C24" s="354" t="s">
        <v>754</v>
      </c>
      <c r="D24" s="345" t="s">
        <v>46</v>
      </c>
      <c r="E24" s="345" t="s">
        <v>761</v>
      </c>
      <c r="F24" s="355" t="s">
        <v>762</v>
      </c>
      <c r="G24" s="353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</row>
    <row r="25">
      <c r="A25" s="350">
        <v>2.0</v>
      </c>
      <c r="B25" s="354" t="s">
        <v>763</v>
      </c>
      <c r="C25" s="354" t="s">
        <v>764</v>
      </c>
      <c r="D25" s="350" t="s">
        <v>255</v>
      </c>
      <c r="E25" s="356" t="s">
        <v>765</v>
      </c>
      <c r="F25" s="355" t="s">
        <v>606</v>
      </c>
      <c r="G25" s="353"/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</row>
    <row r="26">
      <c r="A26" s="350">
        <v>3.0</v>
      </c>
      <c r="B26" s="357" t="s">
        <v>766</v>
      </c>
      <c r="C26" s="354" t="s">
        <v>767</v>
      </c>
      <c r="D26" s="350" t="s">
        <v>56</v>
      </c>
      <c r="E26" s="356" t="s">
        <v>768</v>
      </c>
      <c r="F26" s="355" t="s">
        <v>598</v>
      </c>
      <c r="G26" s="353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</row>
    <row r="27">
      <c r="A27" s="350">
        <v>4.0</v>
      </c>
      <c r="B27" s="354" t="s">
        <v>581</v>
      </c>
      <c r="C27" s="354" t="s">
        <v>769</v>
      </c>
      <c r="D27" s="350" t="s">
        <v>255</v>
      </c>
      <c r="E27" s="356" t="s">
        <v>770</v>
      </c>
      <c r="F27" s="355" t="s">
        <v>586</v>
      </c>
      <c r="G27" s="353"/>
      <c r="H27" s="334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</row>
    <row r="28">
      <c r="A28" s="350">
        <v>5.0</v>
      </c>
      <c r="B28" s="354" t="s">
        <v>771</v>
      </c>
      <c r="C28" s="354" t="s">
        <v>772</v>
      </c>
      <c r="D28" s="347" t="s">
        <v>773</v>
      </c>
      <c r="E28" s="356" t="s">
        <v>568</v>
      </c>
      <c r="F28" s="355" t="s">
        <v>578</v>
      </c>
      <c r="G28" s="353"/>
      <c r="H28" s="334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</row>
    <row r="29">
      <c r="A29" s="350">
        <v>6.0</v>
      </c>
      <c r="B29" s="354" t="s">
        <v>774</v>
      </c>
      <c r="C29" s="354" t="s">
        <v>775</v>
      </c>
      <c r="D29" s="350" t="s">
        <v>169</v>
      </c>
      <c r="E29" s="356" t="s">
        <v>776</v>
      </c>
      <c r="F29" s="355" t="s">
        <v>777</v>
      </c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</row>
    <row r="30">
      <c r="A30" s="351" t="s">
        <v>778</v>
      </c>
      <c r="B30" s="49"/>
      <c r="C30" s="49"/>
      <c r="D30" s="49"/>
      <c r="E30" s="49"/>
      <c r="F30" s="52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</row>
    <row r="31">
      <c r="A31" s="341" t="s">
        <v>10</v>
      </c>
      <c r="B31" s="49"/>
      <c r="C31" s="49"/>
      <c r="D31" s="49"/>
      <c r="E31" s="49"/>
      <c r="F31" s="52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</row>
    <row r="32">
      <c r="A32" s="342" t="s">
        <v>15</v>
      </c>
      <c r="B32" s="358" t="s">
        <v>779</v>
      </c>
      <c r="C32" s="343" t="s">
        <v>746</v>
      </c>
      <c r="D32" s="342" t="s">
        <v>18</v>
      </c>
      <c r="E32" s="342" t="s">
        <v>19</v>
      </c>
      <c r="F32" s="342" t="s">
        <v>20</v>
      </c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</row>
    <row r="33">
      <c r="A33" s="350">
        <v>1.0</v>
      </c>
      <c r="B33" s="354" t="s">
        <v>719</v>
      </c>
      <c r="C33" s="354" t="s">
        <v>780</v>
      </c>
      <c r="D33" s="356" t="s">
        <v>46</v>
      </c>
      <c r="E33" s="356" t="s">
        <v>781</v>
      </c>
      <c r="F33" s="349" t="s">
        <v>748</v>
      </c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</row>
    <row r="34">
      <c r="A34" s="350">
        <v>2.0</v>
      </c>
      <c r="B34" s="354" t="s">
        <v>782</v>
      </c>
      <c r="C34" s="354" t="s">
        <v>780</v>
      </c>
      <c r="D34" s="356" t="s">
        <v>46</v>
      </c>
      <c r="E34" s="356" t="s">
        <v>781</v>
      </c>
      <c r="F34" s="349" t="s">
        <v>748</v>
      </c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</row>
    <row r="35">
      <c r="A35" s="350">
        <v>3.0</v>
      </c>
      <c r="B35" s="354" t="s">
        <v>694</v>
      </c>
      <c r="C35" s="354" t="s">
        <v>780</v>
      </c>
      <c r="D35" s="356" t="s">
        <v>46</v>
      </c>
      <c r="E35" s="356" t="s">
        <v>781</v>
      </c>
      <c r="F35" s="349" t="s">
        <v>748</v>
      </c>
      <c r="G35" s="334"/>
      <c r="H35" s="334"/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</row>
    <row r="36">
      <c r="A36" s="350">
        <v>4.0</v>
      </c>
      <c r="B36" s="354" t="s">
        <v>689</v>
      </c>
      <c r="C36" s="354" t="s">
        <v>780</v>
      </c>
      <c r="D36" s="356" t="s">
        <v>46</v>
      </c>
      <c r="E36" s="356" t="s">
        <v>781</v>
      </c>
      <c r="F36" s="349" t="s">
        <v>748</v>
      </c>
      <c r="G36" s="334"/>
      <c r="H36" s="334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</row>
    <row r="37">
      <c r="A37" s="350">
        <v>5.0</v>
      </c>
      <c r="B37" s="354" t="s">
        <v>698</v>
      </c>
      <c r="C37" s="354" t="s">
        <v>780</v>
      </c>
      <c r="D37" s="356" t="s">
        <v>46</v>
      </c>
      <c r="E37" s="356" t="s">
        <v>781</v>
      </c>
      <c r="F37" s="349" t="s">
        <v>748</v>
      </c>
      <c r="G37" s="334"/>
      <c r="H37" s="334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</row>
    <row r="38">
      <c r="A38" s="350">
        <v>6.0</v>
      </c>
      <c r="B38" s="354" t="s">
        <v>707</v>
      </c>
      <c r="C38" s="354" t="s">
        <v>780</v>
      </c>
      <c r="D38" s="356" t="s">
        <v>46</v>
      </c>
      <c r="E38" s="356" t="s">
        <v>781</v>
      </c>
      <c r="F38" s="349" t="s">
        <v>748</v>
      </c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</row>
    <row r="39">
      <c r="A39" s="350">
        <v>7.0</v>
      </c>
      <c r="B39" s="354" t="s">
        <v>711</v>
      </c>
      <c r="C39" s="354" t="s">
        <v>780</v>
      </c>
      <c r="D39" s="356" t="s">
        <v>46</v>
      </c>
      <c r="E39" s="356" t="s">
        <v>781</v>
      </c>
      <c r="F39" s="349" t="s">
        <v>748</v>
      </c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</row>
    <row r="40">
      <c r="A40" s="341" t="s">
        <v>9</v>
      </c>
      <c r="B40" s="49"/>
      <c r="C40" s="49"/>
      <c r="D40" s="49"/>
      <c r="E40" s="49"/>
      <c r="F40" s="52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</row>
    <row r="41">
      <c r="A41" s="342" t="s">
        <v>15</v>
      </c>
      <c r="B41" s="343" t="s">
        <v>745</v>
      </c>
      <c r="C41" s="343" t="s">
        <v>746</v>
      </c>
      <c r="D41" s="342" t="s">
        <v>18</v>
      </c>
      <c r="E41" s="342" t="s">
        <v>19</v>
      </c>
      <c r="F41" s="342" t="s">
        <v>20</v>
      </c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</row>
    <row r="42">
      <c r="A42" s="350">
        <v>1.0</v>
      </c>
      <c r="B42" s="359" t="s">
        <v>783</v>
      </c>
      <c r="C42" s="360" t="s">
        <v>784</v>
      </c>
      <c r="D42" s="345" t="s">
        <v>785</v>
      </c>
      <c r="E42" s="361" t="s">
        <v>786</v>
      </c>
      <c r="F42" s="349" t="s">
        <v>748</v>
      </c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</row>
    <row r="43">
      <c r="A43" s="350">
        <v>2.0</v>
      </c>
      <c r="B43" s="359" t="s">
        <v>621</v>
      </c>
      <c r="C43" s="360" t="s">
        <v>784</v>
      </c>
      <c r="D43" s="345" t="s">
        <v>785</v>
      </c>
      <c r="E43" s="361" t="s">
        <v>786</v>
      </c>
      <c r="F43" s="349" t="s">
        <v>748</v>
      </c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</row>
    <row r="44">
      <c r="A44" s="350">
        <v>3.0</v>
      </c>
      <c r="B44" s="362" t="s">
        <v>787</v>
      </c>
      <c r="C44" s="360" t="s">
        <v>788</v>
      </c>
      <c r="D44" s="350" t="s">
        <v>169</v>
      </c>
      <c r="E44" s="363" t="s">
        <v>789</v>
      </c>
      <c r="F44" s="349" t="s">
        <v>748</v>
      </c>
      <c r="G44" s="334"/>
      <c r="H44" s="334"/>
      <c r="I44" s="334"/>
      <c r="J44" s="334"/>
      <c r="K44" s="334"/>
      <c r="L44" s="334"/>
      <c r="M44" s="334"/>
      <c r="N44" s="334"/>
      <c r="O44" s="334"/>
      <c r="P44" s="334"/>
      <c r="Q44" s="334"/>
      <c r="R44" s="334"/>
      <c r="S44" s="334"/>
    </row>
    <row r="45">
      <c r="A45" s="350">
        <v>4.0</v>
      </c>
      <c r="B45" s="359" t="s">
        <v>790</v>
      </c>
      <c r="C45" s="362" t="s">
        <v>105</v>
      </c>
      <c r="D45" s="345" t="s">
        <v>785</v>
      </c>
      <c r="E45" s="363" t="s">
        <v>108</v>
      </c>
      <c r="F45" s="349" t="s">
        <v>748</v>
      </c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</row>
    <row r="46">
      <c r="A46" s="350">
        <v>5.0</v>
      </c>
      <c r="B46" s="359" t="s">
        <v>791</v>
      </c>
      <c r="C46" s="360" t="s">
        <v>792</v>
      </c>
      <c r="D46" s="345" t="s">
        <v>785</v>
      </c>
      <c r="E46" s="363" t="s">
        <v>793</v>
      </c>
      <c r="F46" s="349" t="s">
        <v>748</v>
      </c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</row>
    <row r="47">
      <c r="A47" s="350">
        <v>6.0</v>
      </c>
      <c r="B47" s="359" t="s">
        <v>794</v>
      </c>
      <c r="C47" s="362" t="s">
        <v>795</v>
      </c>
      <c r="D47" s="345" t="s">
        <v>46</v>
      </c>
      <c r="E47" s="364" t="s">
        <v>796</v>
      </c>
      <c r="F47" s="349" t="s">
        <v>748</v>
      </c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</row>
    <row r="48">
      <c r="A48" s="350">
        <v>7.0</v>
      </c>
      <c r="B48" s="359" t="s">
        <v>797</v>
      </c>
      <c r="C48" s="362" t="s">
        <v>191</v>
      </c>
      <c r="D48" s="345" t="s">
        <v>46</v>
      </c>
      <c r="E48" s="364" t="s">
        <v>195</v>
      </c>
      <c r="F48" s="349" t="s">
        <v>748</v>
      </c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</row>
    <row r="49">
      <c r="A49" s="350">
        <v>8.0</v>
      </c>
      <c r="B49" s="359" t="s">
        <v>798</v>
      </c>
      <c r="C49" s="362" t="s">
        <v>191</v>
      </c>
      <c r="D49" s="345" t="s">
        <v>46</v>
      </c>
      <c r="E49" s="364" t="s">
        <v>195</v>
      </c>
      <c r="F49" s="349" t="s">
        <v>748</v>
      </c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</row>
    <row r="50">
      <c r="A50" s="350">
        <v>9.0</v>
      </c>
      <c r="B50" s="359" t="s">
        <v>799</v>
      </c>
      <c r="C50" s="362" t="s">
        <v>191</v>
      </c>
      <c r="D50" s="345" t="s">
        <v>46</v>
      </c>
      <c r="E50" s="364" t="s">
        <v>195</v>
      </c>
      <c r="F50" s="349" t="s">
        <v>748</v>
      </c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</row>
    <row r="51">
      <c r="A51" s="350">
        <v>10.0</v>
      </c>
      <c r="B51" s="359" t="s">
        <v>800</v>
      </c>
      <c r="C51" s="362" t="s">
        <v>191</v>
      </c>
      <c r="D51" s="345" t="s">
        <v>46</v>
      </c>
      <c r="E51" s="364" t="s">
        <v>195</v>
      </c>
      <c r="F51" s="349" t="s">
        <v>748</v>
      </c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</row>
    <row r="52" ht="19.5" customHeight="1">
      <c r="A52" s="350">
        <v>11.0</v>
      </c>
      <c r="B52" s="362" t="s">
        <v>801</v>
      </c>
      <c r="C52" s="362" t="s">
        <v>780</v>
      </c>
      <c r="D52" s="345" t="s">
        <v>46</v>
      </c>
      <c r="E52" s="363" t="s">
        <v>781</v>
      </c>
      <c r="F52" s="349" t="s">
        <v>748</v>
      </c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</row>
    <row r="53">
      <c r="A53" s="350">
        <v>12.0</v>
      </c>
      <c r="B53" s="362" t="s">
        <v>802</v>
      </c>
      <c r="C53" s="360" t="s">
        <v>803</v>
      </c>
      <c r="D53" s="350" t="s">
        <v>205</v>
      </c>
      <c r="E53" s="364" t="s">
        <v>804</v>
      </c>
      <c r="F53" s="349" t="s">
        <v>748</v>
      </c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</row>
    <row r="54">
      <c r="A54" s="350">
        <v>13.0</v>
      </c>
      <c r="B54" s="359" t="s">
        <v>805</v>
      </c>
      <c r="C54" s="362" t="s">
        <v>806</v>
      </c>
      <c r="D54" s="350" t="s">
        <v>205</v>
      </c>
      <c r="E54" s="363" t="s">
        <v>661</v>
      </c>
      <c r="F54" s="349" t="s">
        <v>748</v>
      </c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</row>
    <row r="55">
      <c r="A55" s="350">
        <v>14.0</v>
      </c>
      <c r="B55" s="362" t="s">
        <v>807</v>
      </c>
      <c r="C55" s="360" t="s">
        <v>808</v>
      </c>
      <c r="D55" s="350" t="s">
        <v>169</v>
      </c>
      <c r="E55" s="364" t="s">
        <v>809</v>
      </c>
      <c r="F55" s="349" t="s">
        <v>748</v>
      </c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</row>
    <row r="56">
      <c r="A56" s="350">
        <v>15.0</v>
      </c>
      <c r="B56" s="362" t="s">
        <v>663</v>
      </c>
      <c r="C56" s="360" t="s">
        <v>803</v>
      </c>
      <c r="D56" s="350" t="s">
        <v>205</v>
      </c>
      <c r="E56" s="364" t="s">
        <v>804</v>
      </c>
      <c r="F56" s="349" t="s">
        <v>748</v>
      </c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</row>
    <row r="57">
      <c r="A57" s="350">
        <v>16.0</v>
      </c>
      <c r="B57" s="362" t="s">
        <v>810</v>
      </c>
      <c r="C57" s="360" t="s">
        <v>803</v>
      </c>
      <c r="D57" s="350" t="s">
        <v>205</v>
      </c>
      <c r="E57" s="364" t="s">
        <v>804</v>
      </c>
      <c r="F57" s="349" t="s">
        <v>748</v>
      </c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</row>
    <row r="58">
      <c r="A58" s="350">
        <v>17.0</v>
      </c>
      <c r="B58" s="359" t="s">
        <v>811</v>
      </c>
      <c r="C58" s="362" t="s">
        <v>812</v>
      </c>
      <c r="D58" s="350" t="s">
        <v>169</v>
      </c>
      <c r="E58" s="364" t="s">
        <v>813</v>
      </c>
      <c r="F58" s="349" t="s">
        <v>748</v>
      </c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</row>
    <row r="59">
      <c r="A59" s="334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</row>
    <row r="60">
      <c r="A60" s="351" t="s">
        <v>814</v>
      </c>
      <c r="B60" s="49"/>
      <c r="C60" s="49"/>
      <c r="D60" s="49"/>
      <c r="E60" s="49"/>
      <c r="F60" s="52"/>
      <c r="G60" s="334"/>
      <c r="H60" s="334"/>
      <c r="I60" s="334"/>
      <c r="J60" s="334"/>
      <c r="K60" s="334"/>
      <c r="L60" s="334"/>
      <c r="M60" s="334"/>
      <c r="N60" s="334"/>
      <c r="O60" s="334"/>
      <c r="P60" s="334"/>
      <c r="Q60" s="334"/>
      <c r="R60" s="334"/>
      <c r="S60" s="334"/>
    </row>
    <row r="61">
      <c r="A61" s="341" t="s">
        <v>5</v>
      </c>
      <c r="B61" s="49"/>
      <c r="C61" s="49"/>
      <c r="D61" s="49"/>
      <c r="E61" s="49"/>
      <c r="F61" s="52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</row>
    <row r="62">
      <c r="A62" s="342" t="s">
        <v>15</v>
      </c>
      <c r="B62" s="343" t="s">
        <v>758</v>
      </c>
      <c r="C62" s="343" t="s">
        <v>746</v>
      </c>
      <c r="D62" s="342" t="s">
        <v>18</v>
      </c>
      <c r="E62" s="342" t="s">
        <v>19</v>
      </c>
      <c r="F62" s="343" t="s">
        <v>759</v>
      </c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</row>
    <row r="63">
      <c r="A63" s="350">
        <v>1.0</v>
      </c>
      <c r="B63" s="347" t="s">
        <v>815</v>
      </c>
      <c r="C63" s="362" t="s">
        <v>105</v>
      </c>
      <c r="D63" s="359" t="s">
        <v>299</v>
      </c>
      <c r="E63" s="365" t="s">
        <v>816</v>
      </c>
      <c r="F63" s="366" t="s">
        <v>817</v>
      </c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</row>
    <row r="64">
      <c r="A64" s="341" t="s">
        <v>10</v>
      </c>
      <c r="B64" s="49"/>
      <c r="C64" s="49"/>
      <c r="D64" s="49"/>
      <c r="E64" s="49"/>
      <c r="F64" s="52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</row>
    <row r="65">
      <c r="A65" s="350">
        <v>1.0</v>
      </c>
      <c r="B65" s="354" t="s">
        <v>701</v>
      </c>
      <c r="C65" s="354" t="s">
        <v>780</v>
      </c>
      <c r="D65" s="356" t="s">
        <v>46</v>
      </c>
      <c r="E65" s="356" t="s">
        <v>781</v>
      </c>
      <c r="F65" s="367" t="s">
        <v>748</v>
      </c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</row>
    <row r="66">
      <c r="A66" s="351" t="s">
        <v>818</v>
      </c>
      <c r="B66" s="49"/>
      <c r="C66" s="49"/>
      <c r="D66" s="49"/>
      <c r="E66" s="49"/>
      <c r="F66" s="52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</row>
    <row r="67">
      <c r="A67" s="341" t="s">
        <v>10</v>
      </c>
      <c r="B67" s="49"/>
      <c r="C67" s="49"/>
      <c r="D67" s="49"/>
      <c r="E67" s="49"/>
      <c r="F67" s="52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</row>
    <row r="68">
      <c r="A68" s="342" t="s">
        <v>15</v>
      </c>
      <c r="B68" s="358" t="s">
        <v>779</v>
      </c>
      <c r="C68" s="343" t="s">
        <v>746</v>
      </c>
      <c r="D68" s="342" t="s">
        <v>18</v>
      </c>
      <c r="E68" s="342" t="s">
        <v>19</v>
      </c>
      <c r="F68" s="342" t="s">
        <v>20</v>
      </c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</row>
    <row r="69">
      <c r="A69" s="350">
        <v>1.0</v>
      </c>
      <c r="B69" s="368" t="s">
        <v>704</v>
      </c>
      <c r="C69" s="368" t="s">
        <v>780</v>
      </c>
      <c r="D69" s="369" t="s">
        <v>46</v>
      </c>
      <c r="E69" s="356" t="s">
        <v>781</v>
      </c>
      <c r="F69" s="367" t="s">
        <v>748</v>
      </c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</row>
    <row r="70">
      <c r="A70" s="370">
        <v>2.0</v>
      </c>
      <c r="B70" s="371" t="s">
        <v>685</v>
      </c>
      <c r="C70" s="371" t="s">
        <v>780</v>
      </c>
      <c r="D70" s="372" t="s">
        <v>46</v>
      </c>
      <c r="E70" s="356" t="s">
        <v>781</v>
      </c>
      <c r="F70" s="373" t="s">
        <v>748</v>
      </c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</row>
    <row r="71">
      <c r="A71" s="370">
        <v>3.0</v>
      </c>
      <c r="B71" s="371" t="s">
        <v>681</v>
      </c>
      <c r="C71" s="371" t="s">
        <v>780</v>
      </c>
      <c r="D71" s="372" t="s">
        <v>46</v>
      </c>
      <c r="E71" s="356" t="s">
        <v>781</v>
      </c>
      <c r="F71" s="373" t="s">
        <v>748</v>
      </c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</row>
    <row r="72">
      <c r="A72" s="341" t="s">
        <v>9</v>
      </c>
      <c r="B72" s="49"/>
      <c r="C72" s="49"/>
      <c r="D72" s="49"/>
      <c r="E72" s="49"/>
      <c r="F72" s="52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</row>
    <row r="73">
      <c r="A73" s="342" t="s">
        <v>15</v>
      </c>
      <c r="B73" s="343" t="s">
        <v>745</v>
      </c>
      <c r="C73" s="343" t="s">
        <v>746</v>
      </c>
      <c r="D73" s="342" t="s">
        <v>18</v>
      </c>
      <c r="E73" s="342" t="s">
        <v>19</v>
      </c>
      <c r="F73" s="342" t="s">
        <v>20</v>
      </c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</row>
    <row r="74">
      <c r="A74" s="347">
        <v>1.0</v>
      </c>
      <c r="B74" s="354" t="s">
        <v>819</v>
      </c>
      <c r="C74" s="354" t="s">
        <v>146</v>
      </c>
      <c r="D74" s="354" t="s">
        <v>56</v>
      </c>
      <c r="E74" s="374" t="s">
        <v>820</v>
      </c>
      <c r="F74" s="375" t="s">
        <v>748</v>
      </c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</row>
    <row r="75">
      <c r="A75" s="347">
        <v>2.0</v>
      </c>
      <c r="B75" s="354" t="s">
        <v>821</v>
      </c>
      <c r="C75" s="354" t="s">
        <v>146</v>
      </c>
      <c r="D75" s="354" t="s">
        <v>56</v>
      </c>
      <c r="E75" s="374" t="s">
        <v>820</v>
      </c>
      <c r="F75" s="375" t="s">
        <v>748</v>
      </c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</row>
    <row r="76">
      <c r="A76" s="347">
        <v>3.0</v>
      </c>
      <c r="B76" s="354" t="s">
        <v>822</v>
      </c>
      <c r="C76" s="354" t="s">
        <v>146</v>
      </c>
      <c r="D76" s="354" t="s">
        <v>56</v>
      </c>
      <c r="E76" s="374" t="s">
        <v>820</v>
      </c>
      <c r="F76" s="375" t="s">
        <v>748</v>
      </c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</row>
    <row r="77">
      <c r="A77" s="347">
        <v>4.0</v>
      </c>
      <c r="B77" s="354" t="s">
        <v>823</v>
      </c>
      <c r="C77" s="354" t="s">
        <v>824</v>
      </c>
      <c r="D77" s="354" t="s">
        <v>46</v>
      </c>
      <c r="E77" s="376" t="s">
        <v>825</v>
      </c>
      <c r="F77" s="375" t="s">
        <v>748</v>
      </c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</row>
    <row r="78">
      <c r="A78" s="347">
        <v>5.0</v>
      </c>
      <c r="B78" s="354" t="s">
        <v>826</v>
      </c>
      <c r="C78" s="354" t="s">
        <v>803</v>
      </c>
      <c r="D78" s="354" t="s">
        <v>205</v>
      </c>
      <c r="E78" s="374" t="s">
        <v>804</v>
      </c>
      <c r="F78" s="375" t="s">
        <v>748</v>
      </c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</row>
    <row r="79">
      <c r="A79" s="347">
        <v>6.0</v>
      </c>
      <c r="B79" s="354" t="s">
        <v>827</v>
      </c>
      <c r="C79" s="354" t="s">
        <v>828</v>
      </c>
      <c r="D79" s="354" t="s">
        <v>46</v>
      </c>
      <c r="E79" s="374" t="s">
        <v>829</v>
      </c>
      <c r="F79" s="375" t="s">
        <v>748</v>
      </c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77"/>
      <c r="S79" s="377"/>
    </row>
    <row r="80">
      <c r="A80" s="334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77"/>
      <c r="S80" s="377"/>
    </row>
    <row r="81">
      <c r="A81" s="351" t="s">
        <v>830</v>
      </c>
      <c r="B81" s="49"/>
      <c r="C81" s="49"/>
      <c r="D81" s="49"/>
      <c r="E81" s="49"/>
      <c r="F81" s="52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</row>
    <row r="82">
      <c r="A82" s="378" t="s">
        <v>5</v>
      </c>
      <c r="B82" s="14"/>
      <c r="C82" s="14"/>
      <c r="D82" s="14"/>
      <c r="E82" s="14"/>
      <c r="F82" s="15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</row>
    <row r="83">
      <c r="A83" s="379" t="s">
        <v>15</v>
      </c>
      <c r="B83" s="380" t="s">
        <v>758</v>
      </c>
      <c r="C83" s="380" t="s">
        <v>746</v>
      </c>
      <c r="D83" s="380" t="s">
        <v>18</v>
      </c>
      <c r="E83" s="380" t="s">
        <v>19</v>
      </c>
      <c r="F83" s="380" t="s">
        <v>759</v>
      </c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</row>
    <row r="84">
      <c r="A84" s="381">
        <v>1.0</v>
      </c>
      <c r="B84" s="371" t="s">
        <v>440</v>
      </c>
      <c r="C84" s="371" t="s">
        <v>831</v>
      </c>
      <c r="D84" s="382" t="s">
        <v>66</v>
      </c>
      <c r="E84" s="372"/>
      <c r="F84" s="383" t="s">
        <v>832</v>
      </c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</row>
    <row r="85">
      <c r="A85" s="370">
        <v>2.0</v>
      </c>
      <c r="B85" s="384" t="s">
        <v>833</v>
      </c>
      <c r="C85" s="384" t="s">
        <v>415</v>
      </c>
      <c r="D85" s="382" t="s">
        <v>378</v>
      </c>
      <c r="E85" s="385" t="s">
        <v>834</v>
      </c>
      <c r="F85" s="383" t="s">
        <v>832</v>
      </c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</row>
    <row r="86">
      <c r="A86" s="378" t="s">
        <v>9</v>
      </c>
      <c r="B86" s="14"/>
      <c r="C86" s="14"/>
      <c r="D86" s="14"/>
      <c r="E86" s="14"/>
      <c r="F86" s="15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</row>
    <row r="87">
      <c r="A87" s="379" t="s">
        <v>15</v>
      </c>
      <c r="B87" s="380" t="s">
        <v>745</v>
      </c>
      <c r="C87" s="380" t="s">
        <v>746</v>
      </c>
      <c r="D87" s="380" t="s">
        <v>18</v>
      </c>
      <c r="E87" s="380" t="s">
        <v>19</v>
      </c>
      <c r="F87" s="380" t="s">
        <v>20</v>
      </c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</row>
    <row r="88">
      <c r="A88" s="354">
        <v>1.0</v>
      </c>
      <c r="B88" s="386" t="s">
        <v>493</v>
      </c>
      <c r="C88" s="347" t="s">
        <v>836</v>
      </c>
      <c r="D88" s="347" t="s">
        <v>169</v>
      </c>
      <c r="E88" s="388" t="s">
        <v>837</v>
      </c>
      <c r="F88" s="389" t="s">
        <v>840</v>
      </c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</row>
    <row r="89">
      <c r="A89" s="354">
        <v>2.0</v>
      </c>
      <c r="B89" s="347" t="s">
        <v>841</v>
      </c>
      <c r="C89" s="347" t="s">
        <v>842</v>
      </c>
      <c r="D89" s="347" t="s">
        <v>169</v>
      </c>
      <c r="E89" s="388" t="s">
        <v>843</v>
      </c>
      <c r="F89" s="389" t="s">
        <v>840</v>
      </c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</row>
    <row r="90">
      <c r="A90" s="354">
        <v>3.0</v>
      </c>
      <c r="B90" s="347" t="s">
        <v>846</v>
      </c>
      <c r="C90" s="347" t="s">
        <v>847</v>
      </c>
      <c r="D90" s="347" t="s">
        <v>497</v>
      </c>
      <c r="E90" s="388" t="s">
        <v>848</v>
      </c>
      <c r="F90" s="389" t="s">
        <v>840</v>
      </c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</row>
    <row r="91">
      <c r="A91" s="394">
        <v>4.0</v>
      </c>
      <c r="B91" s="371" t="s">
        <v>851</v>
      </c>
      <c r="C91" s="395" t="s">
        <v>836</v>
      </c>
      <c r="D91" s="347" t="s">
        <v>169</v>
      </c>
      <c r="E91" s="388" t="s">
        <v>837</v>
      </c>
      <c r="F91" s="389" t="s">
        <v>840</v>
      </c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</row>
    <row r="92">
      <c r="A92" s="394">
        <v>5.0</v>
      </c>
      <c r="B92" s="371" t="s">
        <v>852</v>
      </c>
      <c r="C92" s="384" t="s">
        <v>853</v>
      </c>
      <c r="D92" s="384" t="s">
        <v>31</v>
      </c>
      <c r="E92" s="388" t="s">
        <v>854</v>
      </c>
      <c r="F92" s="389" t="s">
        <v>840</v>
      </c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</row>
    <row r="93">
      <c r="A93" s="394">
        <v>6.0</v>
      </c>
      <c r="B93" s="371" t="s">
        <v>855</v>
      </c>
      <c r="C93" s="371" t="s">
        <v>856</v>
      </c>
      <c r="D93" s="384" t="s">
        <v>205</v>
      </c>
      <c r="E93" s="388" t="s">
        <v>857</v>
      </c>
      <c r="F93" s="389" t="s">
        <v>840</v>
      </c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</row>
    <row r="94">
      <c r="A94" s="397">
        <v>7.0</v>
      </c>
      <c r="B94" s="371" t="s">
        <v>858</v>
      </c>
      <c r="C94" s="371" t="s">
        <v>859</v>
      </c>
      <c r="D94" s="384" t="s">
        <v>46</v>
      </c>
      <c r="E94" s="388" t="s">
        <v>860</v>
      </c>
      <c r="F94" s="389" t="s">
        <v>840</v>
      </c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</row>
    <row r="95">
      <c r="A95" s="397">
        <v>8.0</v>
      </c>
      <c r="B95" s="371" t="s">
        <v>861</v>
      </c>
      <c r="C95" s="371" t="s">
        <v>862</v>
      </c>
      <c r="D95" s="384" t="s">
        <v>205</v>
      </c>
      <c r="E95" s="388" t="s">
        <v>863</v>
      </c>
      <c r="F95" s="383" t="s">
        <v>832</v>
      </c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</row>
    <row r="96">
      <c r="A96" s="397">
        <v>9.0</v>
      </c>
      <c r="B96" s="371" t="s">
        <v>864</v>
      </c>
      <c r="C96" s="371" t="s">
        <v>865</v>
      </c>
      <c r="D96" s="384" t="s">
        <v>299</v>
      </c>
      <c r="E96" s="388" t="s">
        <v>866</v>
      </c>
      <c r="F96" s="389" t="s">
        <v>840</v>
      </c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</row>
    <row r="97">
      <c r="A97" s="334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</row>
    <row r="98">
      <c r="A98" s="334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</row>
    <row r="99">
      <c r="A99" s="334"/>
      <c r="B99" s="334"/>
      <c r="C99" s="334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</row>
    <row r="100">
      <c r="A100" s="334"/>
      <c r="B100" s="334"/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</row>
    <row r="101">
      <c r="A101" s="334"/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</row>
    <row r="102">
      <c r="A102" s="334"/>
      <c r="B102" s="334"/>
      <c r="C102" s="334"/>
      <c r="D102" s="334"/>
      <c r="E102" s="334"/>
      <c r="F102" s="334"/>
      <c r="G102" s="334"/>
      <c r="H102" s="334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</row>
    <row r="103">
      <c r="A103" s="334"/>
      <c r="B103" s="334"/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</row>
    <row r="104">
      <c r="A104" s="334"/>
      <c r="B104" s="334"/>
      <c r="C104" s="334"/>
      <c r="D104" s="334"/>
      <c r="E104" s="334"/>
      <c r="F104" s="334"/>
      <c r="G104" s="334"/>
      <c r="H104" s="334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</row>
    <row r="105">
      <c r="A105" s="334"/>
      <c r="B105" s="334"/>
      <c r="C105" s="334"/>
      <c r="D105" s="334"/>
      <c r="E105" s="334"/>
      <c r="F105" s="334"/>
      <c r="G105" s="334"/>
      <c r="H105" s="334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</row>
    <row r="106">
      <c r="A106" s="334"/>
      <c r="B106" s="334"/>
      <c r="C106" s="334"/>
      <c r="D106" s="334"/>
      <c r="E106" s="334"/>
      <c r="F106" s="334"/>
      <c r="G106" s="334"/>
      <c r="H106" s="334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</row>
    <row r="107">
      <c r="A107" s="334"/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</row>
    <row r="108">
      <c r="A108" s="334"/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</row>
    <row r="109">
      <c r="A109" s="334"/>
      <c r="B109" s="334"/>
      <c r="C109" s="334"/>
      <c r="D109" s="334"/>
      <c r="E109" s="334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</row>
    <row r="110">
      <c r="A110" s="334"/>
      <c r="B110" s="334"/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</row>
    <row r="111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</row>
    <row r="112">
      <c r="A112" s="334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</row>
    <row r="113">
      <c r="A113" s="334"/>
      <c r="B113" s="334"/>
      <c r="C113" s="334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</row>
    <row r="114">
      <c r="A114" s="334"/>
      <c r="B114" s="334"/>
      <c r="C114" s="334"/>
      <c r="D114" s="334"/>
      <c r="E114" s="334"/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</row>
    <row r="115">
      <c r="A115" s="334"/>
      <c r="B115" s="334"/>
      <c r="C115" s="334"/>
      <c r="D115" s="334"/>
      <c r="E115" s="334"/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</row>
    <row r="116">
      <c r="A116" s="334"/>
      <c r="B116" s="334"/>
      <c r="C116" s="334"/>
      <c r="D116" s="334"/>
      <c r="E116" s="334"/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</row>
    <row r="117">
      <c r="A117" s="334"/>
      <c r="B117" s="334"/>
      <c r="C117" s="334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</row>
    <row r="118">
      <c r="A118" s="334"/>
      <c r="B118" s="334"/>
      <c r="C118" s="334"/>
      <c r="D118" s="334"/>
      <c r="E118" s="334"/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</row>
    <row r="119">
      <c r="A119" s="334"/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</row>
    <row r="120">
      <c r="A120" s="334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</row>
    <row r="121">
      <c r="A121" s="334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</row>
    <row r="122">
      <c r="A122" s="334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</row>
    <row r="123">
      <c r="A123" s="334"/>
      <c r="B123" s="334"/>
      <c r="C123" s="334"/>
      <c r="D123" s="334"/>
      <c r="E123" s="334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</row>
    <row r="124">
      <c r="A124" s="334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</row>
    <row r="125">
      <c r="A125" s="334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</row>
    <row r="126">
      <c r="A126" s="334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</row>
    <row r="127">
      <c r="A127" s="334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</row>
    <row r="128">
      <c r="A128" s="334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</row>
    <row r="129">
      <c r="A129" s="334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</row>
    <row r="130">
      <c r="A130" s="334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</row>
    <row r="131">
      <c r="A131" s="334"/>
      <c r="B131" s="334"/>
      <c r="C131" s="334"/>
      <c r="D131" s="334"/>
      <c r="E131" s="334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</row>
    <row r="132">
      <c r="A132" s="334"/>
      <c r="B132" s="334"/>
      <c r="C132" s="334"/>
      <c r="D132" s="334"/>
      <c r="E132" s="334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</row>
    <row r="133">
      <c r="A133" s="334"/>
      <c r="B133" s="334"/>
      <c r="C133" s="334"/>
      <c r="D133" s="334"/>
      <c r="E133" s="334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</row>
    <row r="134">
      <c r="A134" s="334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</row>
    <row r="135">
      <c r="A135" s="334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</row>
    <row r="136">
      <c r="A136" s="334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</row>
    <row r="137">
      <c r="A137" s="334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</row>
    <row r="138">
      <c r="A138" s="334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</row>
    <row r="139">
      <c r="A139" s="334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</row>
    <row r="140">
      <c r="A140" s="334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</row>
    <row r="141">
      <c r="A141" s="334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</row>
    <row r="142">
      <c r="A142" s="334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</row>
    <row r="143">
      <c r="A143" s="334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</row>
    <row r="144">
      <c r="A144" s="334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</row>
    <row r="145">
      <c r="A145" s="334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</row>
    <row r="146">
      <c r="A146" s="334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</row>
    <row r="147">
      <c r="A147" s="334"/>
      <c r="B147" s="334"/>
      <c r="C147" s="334"/>
      <c r="D147" s="334"/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</row>
    <row r="148">
      <c r="A148" s="334"/>
      <c r="B148" s="334"/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</row>
    <row r="149">
      <c r="A149" s="334"/>
      <c r="B149" s="334"/>
      <c r="C149" s="334"/>
      <c r="D149" s="334"/>
      <c r="E149" s="334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</row>
    <row r="150">
      <c r="A150" s="334"/>
      <c r="B150" s="334"/>
      <c r="C150" s="334"/>
      <c r="D150" s="334"/>
      <c r="E150" s="334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</row>
    <row r="151">
      <c r="A151" s="334"/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</row>
    <row r="152">
      <c r="A152" s="334"/>
      <c r="B152" s="334"/>
      <c r="C152" s="334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</row>
    <row r="153">
      <c r="A153" s="334"/>
      <c r="B153" s="334"/>
      <c r="C153" s="334"/>
      <c r="D153" s="334"/>
      <c r="E153" s="334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</row>
    <row r="154">
      <c r="A154" s="334"/>
      <c r="B154" s="334"/>
      <c r="C154" s="334"/>
      <c r="D154" s="334"/>
      <c r="E154" s="334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</row>
    <row r="155">
      <c r="A155" s="334"/>
      <c r="B155" s="334"/>
      <c r="C155" s="334"/>
      <c r="D155" s="334"/>
      <c r="E155" s="334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</row>
    <row r="156">
      <c r="A156" s="334"/>
      <c r="B156" s="334"/>
      <c r="C156" s="334"/>
      <c r="D156" s="334"/>
      <c r="E156" s="334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</row>
    <row r="157">
      <c r="A157" s="334"/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</row>
    <row r="158">
      <c r="A158" s="334"/>
      <c r="B158" s="334"/>
      <c r="C158" s="334"/>
      <c r="D158" s="334"/>
      <c r="E158" s="334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</row>
    <row r="159">
      <c r="A159" s="334"/>
      <c r="B159" s="334"/>
      <c r="C159" s="334"/>
      <c r="D159" s="334"/>
      <c r="E159" s="334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</row>
    <row r="160">
      <c r="A160" s="334"/>
      <c r="B160" s="334"/>
      <c r="C160" s="334"/>
      <c r="D160" s="334"/>
      <c r="E160" s="334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</row>
    <row r="161">
      <c r="A161" s="334"/>
      <c r="B161" s="334"/>
      <c r="C161" s="334"/>
      <c r="D161" s="334"/>
      <c r="E161" s="334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</row>
    <row r="162">
      <c r="A162" s="334"/>
      <c r="B162" s="334"/>
      <c r="C162" s="334"/>
      <c r="D162" s="334"/>
      <c r="E162" s="334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</row>
    <row r="163">
      <c r="A163" s="334"/>
      <c r="B163" s="334"/>
      <c r="C163" s="334"/>
      <c r="D163" s="334"/>
      <c r="E163" s="334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</row>
    <row r="164">
      <c r="A164" s="334"/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</row>
    <row r="165">
      <c r="A165" s="334"/>
      <c r="B165" s="334"/>
      <c r="C165" s="334"/>
      <c r="D165" s="334"/>
      <c r="E165" s="334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</row>
    <row r="166">
      <c r="A166" s="334"/>
      <c r="B166" s="334"/>
      <c r="C166" s="334"/>
      <c r="D166" s="334"/>
      <c r="E166" s="334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</row>
    <row r="167">
      <c r="A167" s="334"/>
      <c r="B167" s="334"/>
      <c r="C167" s="334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</row>
    <row r="168">
      <c r="A168" s="334"/>
      <c r="B168" s="334"/>
      <c r="C168" s="334"/>
      <c r="D168" s="334"/>
      <c r="E168" s="334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</row>
    <row r="169">
      <c r="A169" s="334"/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</row>
    <row r="170">
      <c r="A170" s="334"/>
      <c r="B170" s="334"/>
      <c r="C170" s="334"/>
      <c r="D170" s="334"/>
      <c r="E170" s="334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</row>
    <row r="171">
      <c r="A171" s="334"/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</row>
    <row r="172">
      <c r="A172" s="334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</row>
    <row r="173">
      <c r="A173" s="334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</row>
    <row r="174">
      <c r="A174" s="334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</row>
    <row r="175">
      <c r="A175" s="334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</row>
    <row r="176">
      <c r="A176" s="334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</row>
    <row r="177">
      <c r="A177" s="334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</row>
    <row r="178">
      <c r="A178" s="334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</row>
    <row r="179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</row>
    <row r="180">
      <c r="A180" s="334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</row>
    <row r="181">
      <c r="A181" s="334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</row>
    <row r="182">
      <c r="A182" s="334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</row>
    <row r="183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</row>
    <row r="184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</row>
    <row r="185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</row>
    <row r="186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</row>
    <row r="187">
      <c r="A187" s="334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</row>
    <row r="188">
      <c r="A188" s="334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</row>
    <row r="189">
      <c r="A189" s="334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</row>
    <row r="190">
      <c r="A190" s="334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</row>
    <row r="191">
      <c r="A191" s="334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</row>
    <row r="192">
      <c r="A192" s="334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</row>
    <row r="193">
      <c r="A193" s="334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</row>
    <row r="194">
      <c r="A194" s="334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</row>
    <row r="195">
      <c r="A195" s="334"/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</row>
    <row r="196">
      <c r="A196" s="334"/>
      <c r="B196" s="334"/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</row>
    <row r="197">
      <c r="A197" s="334"/>
      <c r="B197" s="334"/>
      <c r="C197" s="334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</row>
    <row r="198">
      <c r="A198" s="334"/>
      <c r="B198" s="334"/>
      <c r="C198" s="334"/>
      <c r="D198" s="334"/>
      <c r="E198" s="334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</row>
    <row r="199">
      <c r="A199" s="334"/>
      <c r="B199" s="334"/>
      <c r="C199" s="334"/>
      <c r="D199" s="334"/>
      <c r="E199" s="334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</row>
    <row r="200">
      <c r="A200" s="334"/>
      <c r="B200" s="334"/>
      <c r="C200" s="334"/>
      <c r="D200" s="334"/>
      <c r="E200" s="334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</row>
    <row r="201">
      <c r="A201" s="334"/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</row>
    <row r="202">
      <c r="A202" s="334"/>
      <c r="B202" s="334"/>
      <c r="C202" s="334"/>
      <c r="D202" s="334"/>
      <c r="E202" s="334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</row>
    <row r="203">
      <c r="A203" s="334"/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</row>
    <row r="204">
      <c r="A204" s="334"/>
      <c r="B204" s="334"/>
      <c r="C204" s="334"/>
      <c r="D204" s="334"/>
      <c r="E204" s="334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</row>
    <row r="205">
      <c r="A205" s="334"/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</row>
    <row r="206">
      <c r="A206" s="334"/>
      <c r="B206" s="334"/>
      <c r="C206" s="334"/>
      <c r="D206" s="334"/>
      <c r="E206" s="334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</row>
    <row r="207">
      <c r="A207" s="334"/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</row>
    <row r="208">
      <c r="A208" s="334"/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</row>
    <row r="209">
      <c r="A209" s="334"/>
      <c r="B209" s="334"/>
      <c r="C209" s="334"/>
      <c r="D209" s="334"/>
      <c r="E209" s="334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</row>
    <row r="210">
      <c r="A210" s="334"/>
      <c r="B210" s="334"/>
      <c r="C210" s="334"/>
      <c r="D210" s="334"/>
      <c r="E210" s="334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</row>
    <row r="211">
      <c r="A211" s="334"/>
      <c r="B211" s="334"/>
      <c r="C211" s="334"/>
      <c r="D211" s="334"/>
      <c r="E211" s="334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</row>
    <row r="212">
      <c r="A212" s="334"/>
      <c r="B212" s="334"/>
      <c r="C212" s="334"/>
      <c r="D212" s="334"/>
      <c r="E212" s="334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</row>
    <row r="213">
      <c r="A213" s="334"/>
      <c r="B213" s="334"/>
      <c r="C213" s="334"/>
      <c r="D213" s="334"/>
      <c r="E213" s="334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</row>
    <row r="214">
      <c r="A214" s="334"/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</row>
    <row r="215">
      <c r="A215" s="334"/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</row>
    <row r="216">
      <c r="A216" s="334"/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</row>
    <row r="217">
      <c r="A217" s="334"/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</row>
    <row r="218">
      <c r="A218" s="334"/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</row>
    <row r="219">
      <c r="A219" s="334"/>
      <c r="B219" s="334"/>
      <c r="C219" s="334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</row>
    <row r="220">
      <c r="A220" s="334"/>
      <c r="B220" s="334"/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</row>
    <row r="221">
      <c r="A221" s="334"/>
      <c r="B221" s="334"/>
      <c r="C221" s="334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</row>
    <row r="222">
      <c r="A222" s="334"/>
      <c r="B222" s="334"/>
      <c r="C222" s="334"/>
      <c r="D222" s="334"/>
      <c r="E222" s="334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</row>
    <row r="223">
      <c r="A223" s="334"/>
      <c r="B223" s="334"/>
      <c r="C223" s="334"/>
      <c r="D223" s="334"/>
      <c r="E223" s="334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</row>
    <row r="224">
      <c r="A224" s="334"/>
      <c r="B224" s="334"/>
      <c r="C224" s="334"/>
      <c r="D224" s="334"/>
      <c r="E224" s="334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</row>
    <row r="225">
      <c r="A225" s="334"/>
      <c r="B225" s="334"/>
      <c r="C225" s="334"/>
      <c r="D225" s="334"/>
      <c r="E225" s="334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</row>
    <row r="226">
      <c r="A226" s="334"/>
      <c r="B226" s="334"/>
      <c r="C226" s="334"/>
      <c r="D226" s="334"/>
      <c r="E226" s="334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</row>
    <row r="227">
      <c r="A227" s="334"/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</row>
    <row r="228">
      <c r="A228" s="334"/>
      <c r="B228" s="334"/>
      <c r="C228" s="334"/>
      <c r="D228" s="334"/>
      <c r="E228" s="334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</row>
    <row r="229">
      <c r="A229" s="334"/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</row>
    <row r="230">
      <c r="A230" s="334"/>
      <c r="B230" s="334"/>
      <c r="C230" s="334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</row>
    <row r="231">
      <c r="A231" s="334"/>
      <c r="B231" s="334"/>
      <c r="C231" s="334"/>
      <c r="D231" s="334"/>
      <c r="E231" s="334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</row>
    <row r="232">
      <c r="A232" s="334"/>
      <c r="B232" s="334"/>
      <c r="C232" s="334"/>
      <c r="D232" s="334"/>
      <c r="E232" s="334"/>
      <c r="F232" s="334"/>
      <c r="G232" s="334"/>
      <c r="H232" s="334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</row>
    <row r="233">
      <c r="A233" s="334"/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</row>
    <row r="234">
      <c r="A234" s="334"/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</row>
    <row r="235">
      <c r="A235" s="334"/>
      <c r="B235" s="334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</row>
    <row r="236">
      <c r="A236" s="334"/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</row>
    <row r="237">
      <c r="A237" s="334"/>
      <c r="B237" s="334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</row>
    <row r="238">
      <c r="A238" s="334"/>
      <c r="B238" s="33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</row>
    <row r="239">
      <c r="A239" s="334"/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</row>
    <row r="240">
      <c r="A240" s="334"/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</row>
    <row r="241">
      <c r="A241" s="334"/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</row>
    <row r="242">
      <c r="A242" s="334"/>
      <c r="B242" s="334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</row>
    <row r="243">
      <c r="A243" s="334"/>
      <c r="B243" s="334"/>
      <c r="C243" s="334"/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</row>
    <row r="244">
      <c r="A244" s="334"/>
      <c r="B244" s="334"/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</row>
    <row r="245">
      <c r="A245" s="334"/>
      <c r="B245" s="334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</row>
    <row r="246">
      <c r="A246" s="334"/>
      <c r="B246" s="334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</row>
    <row r="247">
      <c r="A247" s="334"/>
      <c r="B247" s="334"/>
      <c r="C247" s="334"/>
      <c r="D247" s="334"/>
      <c r="E247" s="334"/>
      <c r="F247" s="334"/>
      <c r="G247" s="334"/>
      <c r="H247" s="334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</row>
    <row r="248">
      <c r="A248" s="334"/>
      <c r="B248" s="334"/>
      <c r="C248" s="334"/>
      <c r="D248" s="334"/>
      <c r="E248" s="334"/>
      <c r="F248" s="334"/>
      <c r="G248" s="334"/>
      <c r="H248" s="334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</row>
    <row r="249">
      <c r="A249" s="334"/>
      <c r="B249" s="334"/>
      <c r="C249" s="334"/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</row>
    <row r="250">
      <c r="A250" s="334"/>
      <c r="B250" s="334"/>
      <c r="C250" s="334"/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</row>
    <row r="251">
      <c r="A251" s="334"/>
      <c r="B251" s="334"/>
      <c r="C251" s="334"/>
      <c r="D251" s="334"/>
      <c r="E251" s="334"/>
      <c r="F251" s="334"/>
      <c r="G251" s="334"/>
      <c r="H251" s="334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</row>
    <row r="252">
      <c r="A252" s="334"/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</row>
    <row r="253">
      <c r="A253" s="334"/>
      <c r="B253" s="334"/>
      <c r="C253" s="334"/>
      <c r="D253" s="334"/>
      <c r="E253" s="334"/>
      <c r="F253" s="334"/>
      <c r="G253" s="334"/>
      <c r="H253" s="334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</row>
    <row r="254">
      <c r="A254" s="334"/>
      <c r="B254" s="334"/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</row>
    <row r="255">
      <c r="A255" s="334"/>
      <c r="B255" s="334"/>
      <c r="C255" s="334"/>
      <c r="D255" s="334"/>
      <c r="E255" s="334"/>
      <c r="F255" s="334"/>
      <c r="G255" s="334"/>
      <c r="H255" s="334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</row>
    <row r="256">
      <c r="A256" s="334"/>
      <c r="B256" s="334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</row>
    <row r="257">
      <c r="A257" s="334"/>
      <c r="B257" s="334"/>
      <c r="C257" s="334"/>
      <c r="D257" s="334"/>
      <c r="E257" s="334"/>
      <c r="F257" s="334"/>
      <c r="G257" s="334"/>
      <c r="H257" s="334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</row>
    <row r="258">
      <c r="A258" s="334"/>
      <c r="B258" s="334"/>
      <c r="C258" s="334"/>
      <c r="D258" s="334"/>
      <c r="E258" s="334"/>
      <c r="F258" s="334"/>
      <c r="G258" s="334"/>
      <c r="H258" s="334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</row>
    <row r="259">
      <c r="A259" s="334"/>
      <c r="B259" s="334"/>
      <c r="C259" s="334"/>
      <c r="D259" s="334"/>
      <c r="E259" s="334"/>
      <c r="F259" s="334"/>
      <c r="G259" s="334"/>
      <c r="H259" s="334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</row>
    <row r="260">
      <c r="A260" s="334"/>
      <c r="B260" s="334"/>
      <c r="C260" s="334"/>
      <c r="D260" s="334"/>
      <c r="E260" s="334"/>
      <c r="F260" s="334"/>
      <c r="G260" s="334"/>
      <c r="H260" s="334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</row>
    <row r="261">
      <c r="A261" s="334"/>
      <c r="B261" s="334"/>
      <c r="C261" s="334"/>
      <c r="D261" s="334"/>
      <c r="E261" s="334"/>
      <c r="F261" s="334"/>
      <c r="G261" s="334"/>
      <c r="H261" s="334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</row>
    <row r="262">
      <c r="A262" s="334"/>
      <c r="B262" s="334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</row>
    <row r="263">
      <c r="A263" s="334"/>
      <c r="B263" s="334"/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</row>
    <row r="264">
      <c r="A264" s="334"/>
      <c r="B264" s="334"/>
      <c r="C264" s="334"/>
      <c r="D264" s="334"/>
      <c r="E264" s="334"/>
      <c r="F264" s="334"/>
      <c r="G264" s="334"/>
      <c r="H264" s="334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</row>
    <row r="265">
      <c r="A265" s="334"/>
      <c r="B265" s="334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</row>
    <row r="266">
      <c r="A266" s="334"/>
      <c r="B266" s="334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</row>
    <row r="267">
      <c r="A267" s="334"/>
      <c r="B267" s="334"/>
      <c r="C267" s="334"/>
      <c r="D267" s="334"/>
      <c r="E267" s="334"/>
      <c r="F267" s="334"/>
      <c r="G267" s="334"/>
      <c r="H267" s="334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</row>
    <row r="268">
      <c r="A268" s="334"/>
      <c r="B268" s="334"/>
      <c r="C268" s="334"/>
      <c r="D268" s="334"/>
      <c r="E268" s="334"/>
      <c r="F268" s="334"/>
      <c r="G268" s="334"/>
      <c r="H268" s="334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</row>
    <row r="269">
      <c r="A269" s="334"/>
      <c r="B269" s="334"/>
      <c r="C269" s="334"/>
      <c r="D269" s="334"/>
      <c r="E269" s="334"/>
      <c r="F269" s="334"/>
      <c r="G269" s="334"/>
      <c r="H269" s="334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</row>
    <row r="270">
      <c r="A270" s="334"/>
      <c r="B270" s="334"/>
      <c r="C270" s="334"/>
      <c r="D270" s="334"/>
      <c r="E270" s="334"/>
      <c r="F270" s="334"/>
      <c r="G270" s="334"/>
      <c r="H270" s="334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</row>
    <row r="271">
      <c r="A271" s="334"/>
      <c r="B271" s="334"/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</row>
    <row r="272">
      <c r="A272" s="334"/>
      <c r="B272" s="334"/>
      <c r="C272" s="334"/>
      <c r="D272" s="334"/>
      <c r="E272" s="334"/>
      <c r="F272" s="334"/>
      <c r="G272" s="334"/>
      <c r="H272" s="334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</row>
    <row r="273">
      <c r="A273" s="334"/>
      <c r="B273" s="334"/>
      <c r="C273" s="334"/>
      <c r="D273" s="334"/>
      <c r="E273" s="334"/>
      <c r="F273" s="334"/>
      <c r="G273" s="334"/>
      <c r="H273" s="334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</row>
    <row r="274">
      <c r="A274" s="334"/>
      <c r="B274" s="334"/>
      <c r="C274" s="334"/>
      <c r="D274" s="334"/>
      <c r="E274" s="334"/>
      <c r="F274" s="334"/>
      <c r="G274" s="334"/>
      <c r="H274" s="334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</row>
    <row r="275">
      <c r="A275" s="334"/>
      <c r="B275" s="334"/>
      <c r="C275" s="334"/>
      <c r="D275" s="334"/>
      <c r="E275" s="334"/>
      <c r="F275" s="334"/>
      <c r="G275" s="334"/>
      <c r="H275" s="334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</row>
    <row r="276">
      <c r="A276" s="334"/>
      <c r="B276" s="334"/>
      <c r="C276" s="334"/>
      <c r="D276" s="334"/>
      <c r="E276" s="334"/>
      <c r="F276" s="334"/>
      <c r="G276" s="334"/>
      <c r="H276" s="334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</row>
    <row r="277">
      <c r="A277" s="334"/>
      <c r="B277" s="334"/>
      <c r="C277" s="334"/>
      <c r="D277" s="334"/>
      <c r="E277" s="334"/>
      <c r="F277" s="334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</row>
    <row r="278">
      <c r="A278" s="334"/>
      <c r="B278" s="334"/>
      <c r="C278" s="334"/>
      <c r="D278" s="334"/>
      <c r="E278" s="334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</row>
    <row r="279">
      <c r="A279" s="334"/>
      <c r="B279" s="334"/>
      <c r="C279" s="334"/>
      <c r="D279" s="334"/>
      <c r="E279" s="334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</row>
    <row r="280">
      <c r="A280" s="334"/>
      <c r="B280" s="334"/>
      <c r="C280" s="334"/>
      <c r="D280" s="334"/>
      <c r="E280" s="334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</row>
    <row r="281">
      <c r="A281" s="334"/>
      <c r="B281" s="334"/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</row>
    <row r="282">
      <c r="A282" s="334"/>
      <c r="B282" s="334"/>
      <c r="C282" s="334"/>
      <c r="D282" s="334"/>
      <c r="E282" s="334"/>
      <c r="F282" s="334"/>
      <c r="G282" s="334"/>
      <c r="H282" s="334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</row>
    <row r="283">
      <c r="A283" s="334"/>
      <c r="B283" s="334"/>
      <c r="C283" s="334"/>
      <c r="D283" s="334"/>
      <c r="E283" s="334"/>
      <c r="F283" s="334"/>
      <c r="G283" s="334"/>
      <c r="H283" s="334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</row>
    <row r="284">
      <c r="A284" s="334"/>
      <c r="B284" s="334"/>
      <c r="C284" s="334"/>
      <c r="D284" s="334"/>
      <c r="E284" s="334"/>
      <c r="F284" s="334"/>
      <c r="G284" s="334"/>
      <c r="H284" s="334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</row>
    <row r="285">
      <c r="A285" s="334"/>
      <c r="B285" s="334"/>
      <c r="C285" s="334"/>
      <c r="D285" s="334"/>
      <c r="E285" s="334"/>
      <c r="F285" s="334"/>
      <c r="G285" s="334"/>
      <c r="H285" s="334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</row>
    <row r="286">
      <c r="A286" s="334"/>
      <c r="B286" s="334"/>
      <c r="C286" s="334"/>
      <c r="D286" s="334"/>
      <c r="E286" s="334"/>
      <c r="F286" s="334"/>
      <c r="G286" s="334"/>
      <c r="H286" s="334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</row>
    <row r="287">
      <c r="A287" s="334"/>
      <c r="B287" s="334"/>
      <c r="C287" s="334"/>
      <c r="D287" s="334"/>
      <c r="E287" s="334"/>
      <c r="F287" s="334"/>
      <c r="G287" s="334"/>
      <c r="H287" s="334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</row>
    <row r="288">
      <c r="A288" s="334"/>
      <c r="B288" s="334"/>
      <c r="C288" s="334"/>
      <c r="D288" s="334"/>
      <c r="E288" s="334"/>
      <c r="F288" s="334"/>
      <c r="G288" s="334"/>
      <c r="H288" s="334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</row>
    <row r="289">
      <c r="A289" s="334"/>
      <c r="B289" s="334"/>
      <c r="C289" s="334"/>
      <c r="D289" s="334"/>
      <c r="E289" s="334"/>
      <c r="F289" s="334"/>
      <c r="G289" s="334"/>
      <c r="H289" s="334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</row>
    <row r="290">
      <c r="A290" s="334"/>
      <c r="B290" s="334"/>
      <c r="C290" s="334"/>
      <c r="D290" s="334"/>
      <c r="E290" s="334"/>
      <c r="F290" s="334"/>
      <c r="G290" s="334"/>
      <c r="H290" s="334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</row>
    <row r="291">
      <c r="A291" s="334"/>
      <c r="B291" s="334"/>
      <c r="C291" s="334"/>
      <c r="D291" s="334"/>
      <c r="E291" s="334"/>
      <c r="F291" s="334"/>
      <c r="G291" s="334"/>
      <c r="H291" s="334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</row>
    <row r="292">
      <c r="A292" s="334"/>
      <c r="B292" s="334"/>
      <c r="C292" s="334"/>
      <c r="D292" s="334"/>
      <c r="E292" s="334"/>
      <c r="F292" s="334"/>
      <c r="G292" s="334"/>
      <c r="H292" s="334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</row>
    <row r="293">
      <c r="A293" s="334"/>
      <c r="B293" s="334"/>
      <c r="C293" s="334"/>
      <c r="D293" s="334"/>
      <c r="E293" s="334"/>
      <c r="F293" s="334"/>
      <c r="G293" s="334"/>
      <c r="H293" s="334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</row>
    <row r="294">
      <c r="A294" s="334"/>
      <c r="B294" s="334"/>
      <c r="C294" s="334"/>
      <c r="D294" s="334"/>
      <c r="E294" s="334"/>
      <c r="F294" s="334"/>
      <c r="G294" s="334"/>
      <c r="H294" s="334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</row>
    <row r="295">
      <c r="A295" s="334"/>
      <c r="B295" s="334"/>
      <c r="C295" s="334"/>
      <c r="D295" s="334"/>
      <c r="E295" s="334"/>
      <c r="F295" s="334"/>
      <c r="G295" s="334"/>
      <c r="H295" s="334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</row>
    <row r="296">
      <c r="A296" s="334"/>
      <c r="B296" s="334"/>
      <c r="C296" s="334"/>
      <c r="D296" s="334"/>
      <c r="E296" s="334"/>
      <c r="F296" s="334"/>
      <c r="G296" s="334"/>
      <c r="H296" s="334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</row>
    <row r="297">
      <c r="A297" s="334"/>
      <c r="B297" s="334"/>
      <c r="C297" s="334"/>
      <c r="D297" s="334"/>
      <c r="E297" s="334"/>
      <c r="F297" s="334"/>
      <c r="G297" s="334"/>
      <c r="H297" s="334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</row>
    <row r="298">
      <c r="A298" s="334"/>
      <c r="B298" s="334"/>
      <c r="C298" s="334"/>
      <c r="D298" s="334"/>
      <c r="E298" s="334"/>
      <c r="F298" s="334"/>
      <c r="G298" s="334"/>
      <c r="H298" s="334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</row>
    <row r="299">
      <c r="A299" s="334"/>
      <c r="B299" s="334"/>
      <c r="C299" s="334"/>
      <c r="D299" s="334"/>
      <c r="E299" s="334"/>
      <c r="F299" s="334"/>
      <c r="G299" s="334"/>
      <c r="H299" s="334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</row>
    <row r="300">
      <c r="A300" s="334"/>
      <c r="B300" s="334"/>
      <c r="C300" s="334"/>
      <c r="D300" s="334"/>
      <c r="E300" s="334"/>
      <c r="F300" s="334"/>
      <c r="G300" s="334"/>
      <c r="H300" s="334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</row>
    <row r="301">
      <c r="A301" s="334"/>
      <c r="B301" s="334"/>
      <c r="C301" s="334"/>
      <c r="D301" s="334"/>
      <c r="E301" s="334"/>
      <c r="F301" s="334"/>
      <c r="G301" s="334"/>
      <c r="H301" s="334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</row>
    <row r="302">
      <c r="A302" s="334"/>
      <c r="B302" s="334"/>
      <c r="C302" s="334"/>
      <c r="D302" s="334"/>
      <c r="E302" s="334"/>
      <c r="F302" s="334"/>
      <c r="G302" s="334"/>
      <c r="H302" s="334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</row>
    <row r="303">
      <c r="A303" s="334"/>
      <c r="B303" s="334"/>
      <c r="C303" s="334"/>
      <c r="D303" s="334"/>
      <c r="E303" s="334"/>
      <c r="F303" s="334"/>
      <c r="G303" s="334"/>
      <c r="H303" s="334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</row>
    <row r="304">
      <c r="A304" s="334"/>
      <c r="B304" s="334"/>
      <c r="C304" s="334"/>
      <c r="D304" s="334"/>
      <c r="E304" s="334"/>
      <c r="F304" s="334"/>
      <c r="G304" s="334"/>
      <c r="H304" s="334"/>
      <c r="I304" s="334"/>
      <c r="J304" s="334"/>
      <c r="K304" s="334"/>
      <c r="L304" s="334"/>
      <c r="M304" s="334"/>
      <c r="N304" s="334"/>
      <c r="O304" s="334"/>
      <c r="P304" s="334"/>
      <c r="Q304" s="334"/>
      <c r="R304" s="334"/>
      <c r="S304" s="334"/>
    </row>
    <row r="305">
      <c r="A305" s="334"/>
      <c r="B305" s="334"/>
      <c r="C305" s="334"/>
      <c r="D305" s="334"/>
      <c r="E305" s="334"/>
      <c r="F305" s="334"/>
      <c r="G305" s="334"/>
      <c r="H305" s="334"/>
      <c r="I305" s="334"/>
      <c r="J305" s="334"/>
      <c r="K305" s="334"/>
      <c r="L305" s="334"/>
      <c r="M305" s="334"/>
      <c r="N305" s="334"/>
      <c r="O305" s="334"/>
      <c r="P305" s="334"/>
      <c r="Q305" s="334"/>
      <c r="R305" s="334"/>
      <c r="S305" s="334"/>
    </row>
    <row r="306">
      <c r="A306" s="334"/>
      <c r="B306" s="334"/>
      <c r="C306" s="334"/>
      <c r="D306" s="334"/>
      <c r="E306" s="334"/>
      <c r="F306" s="334"/>
      <c r="G306" s="334"/>
      <c r="H306" s="334"/>
      <c r="I306" s="334"/>
      <c r="J306" s="334"/>
      <c r="K306" s="334"/>
      <c r="L306" s="334"/>
      <c r="M306" s="334"/>
      <c r="N306" s="334"/>
      <c r="O306" s="334"/>
      <c r="P306" s="334"/>
      <c r="Q306" s="334"/>
      <c r="R306" s="334"/>
      <c r="S306" s="334"/>
    </row>
    <row r="307">
      <c r="A307" s="334"/>
      <c r="B307" s="334"/>
      <c r="C307" s="334"/>
      <c r="D307" s="334"/>
      <c r="E307" s="334"/>
      <c r="F307" s="334"/>
      <c r="G307" s="334"/>
      <c r="H307" s="334"/>
      <c r="I307" s="334"/>
      <c r="J307" s="334"/>
      <c r="K307" s="334"/>
      <c r="L307" s="334"/>
      <c r="M307" s="334"/>
      <c r="N307" s="334"/>
      <c r="O307" s="334"/>
      <c r="P307" s="334"/>
      <c r="Q307" s="334"/>
      <c r="R307" s="334"/>
      <c r="S307" s="334"/>
    </row>
    <row r="308">
      <c r="A308" s="334"/>
      <c r="B308" s="334"/>
      <c r="C308" s="334"/>
      <c r="D308" s="334"/>
      <c r="E308" s="334"/>
      <c r="F308" s="334"/>
      <c r="G308" s="334"/>
      <c r="H308" s="334"/>
      <c r="I308" s="334"/>
      <c r="J308" s="334"/>
      <c r="K308" s="334"/>
      <c r="L308" s="334"/>
      <c r="M308" s="334"/>
      <c r="N308" s="334"/>
      <c r="O308" s="334"/>
      <c r="P308" s="334"/>
      <c r="Q308" s="334"/>
      <c r="R308" s="334"/>
      <c r="S308" s="334"/>
    </row>
    <row r="309">
      <c r="A309" s="334"/>
      <c r="B309" s="334"/>
      <c r="C309" s="334"/>
      <c r="D309" s="334"/>
      <c r="E309" s="334"/>
      <c r="F309" s="334"/>
      <c r="G309" s="334"/>
      <c r="H309" s="334"/>
      <c r="I309" s="334"/>
      <c r="J309" s="334"/>
      <c r="K309" s="334"/>
      <c r="L309" s="334"/>
      <c r="M309" s="334"/>
      <c r="N309" s="334"/>
      <c r="O309" s="334"/>
      <c r="P309" s="334"/>
      <c r="Q309" s="334"/>
      <c r="R309" s="334"/>
      <c r="S309" s="334"/>
    </row>
    <row r="310">
      <c r="A310" s="334"/>
      <c r="B310" s="334"/>
      <c r="C310" s="334"/>
      <c r="D310" s="334"/>
      <c r="E310" s="334"/>
      <c r="F310" s="334"/>
      <c r="G310" s="334"/>
      <c r="H310" s="334"/>
      <c r="I310" s="334"/>
      <c r="J310" s="334"/>
      <c r="K310" s="334"/>
      <c r="L310" s="334"/>
      <c r="M310" s="334"/>
      <c r="N310" s="334"/>
      <c r="O310" s="334"/>
      <c r="P310" s="334"/>
      <c r="Q310" s="334"/>
      <c r="R310" s="334"/>
      <c r="S310" s="334"/>
    </row>
    <row r="311">
      <c r="A311" s="334"/>
      <c r="B311" s="334"/>
      <c r="C311" s="334"/>
      <c r="D311" s="334"/>
      <c r="E311" s="334"/>
      <c r="F311" s="334"/>
      <c r="G311" s="334"/>
      <c r="H311" s="334"/>
      <c r="I311" s="334"/>
      <c r="J311" s="334"/>
      <c r="K311" s="334"/>
      <c r="L311" s="334"/>
      <c r="M311" s="334"/>
      <c r="N311" s="334"/>
      <c r="O311" s="334"/>
      <c r="P311" s="334"/>
      <c r="Q311" s="334"/>
      <c r="R311" s="334"/>
      <c r="S311" s="334"/>
    </row>
    <row r="312">
      <c r="A312" s="334"/>
      <c r="B312" s="334"/>
      <c r="C312" s="334"/>
      <c r="D312" s="334"/>
      <c r="E312" s="334"/>
      <c r="F312" s="334"/>
      <c r="G312" s="334"/>
      <c r="H312" s="334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</row>
    <row r="313">
      <c r="A313" s="334"/>
      <c r="B313" s="334"/>
      <c r="C313" s="334"/>
      <c r="D313" s="334"/>
      <c r="E313" s="334"/>
      <c r="F313" s="334"/>
      <c r="G313" s="334"/>
      <c r="H313" s="334"/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</row>
    <row r="314">
      <c r="A314" s="334"/>
      <c r="B314" s="334"/>
      <c r="C314" s="334"/>
      <c r="D314" s="334"/>
      <c r="E314" s="334"/>
      <c r="F314" s="334"/>
      <c r="G314" s="334"/>
      <c r="H314" s="334"/>
      <c r="I314" s="334"/>
      <c r="J314" s="334"/>
      <c r="K314" s="334"/>
      <c r="L314" s="334"/>
      <c r="M314" s="334"/>
      <c r="N314" s="334"/>
      <c r="O314" s="334"/>
      <c r="P314" s="334"/>
      <c r="Q314" s="334"/>
      <c r="R314" s="334"/>
      <c r="S314" s="334"/>
    </row>
    <row r="315">
      <c r="A315" s="334"/>
      <c r="B315" s="334"/>
      <c r="C315" s="334"/>
      <c r="D315" s="334"/>
      <c r="E315" s="334"/>
      <c r="F315" s="334"/>
      <c r="G315" s="334"/>
      <c r="H315" s="334"/>
      <c r="I315" s="334"/>
      <c r="J315" s="334"/>
      <c r="K315" s="334"/>
      <c r="L315" s="334"/>
      <c r="M315" s="334"/>
      <c r="N315" s="334"/>
      <c r="O315" s="334"/>
      <c r="P315" s="334"/>
      <c r="Q315" s="334"/>
      <c r="R315" s="334"/>
      <c r="S315" s="334"/>
    </row>
    <row r="316">
      <c r="A316" s="334"/>
      <c r="B316" s="334"/>
      <c r="C316" s="334"/>
      <c r="D316" s="334"/>
      <c r="E316" s="334"/>
      <c r="F316" s="334"/>
      <c r="G316" s="334"/>
      <c r="H316" s="334"/>
      <c r="I316" s="334"/>
      <c r="J316" s="334"/>
      <c r="K316" s="334"/>
      <c r="L316" s="334"/>
      <c r="M316" s="334"/>
      <c r="N316" s="334"/>
      <c r="O316" s="334"/>
      <c r="P316" s="334"/>
      <c r="Q316" s="334"/>
      <c r="R316" s="334"/>
      <c r="S316" s="334"/>
    </row>
    <row r="317">
      <c r="A317" s="334"/>
      <c r="B317" s="334"/>
      <c r="C317" s="334"/>
      <c r="D317" s="334"/>
      <c r="E317" s="334"/>
      <c r="F317" s="334"/>
      <c r="G317" s="334"/>
      <c r="H317" s="334"/>
      <c r="I317" s="334"/>
      <c r="J317" s="334"/>
      <c r="K317" s="334"/>
      <c r="L317" s="334"/>
      <c r="M317" s="334"/>
      <c r="N317" s="334"/>
      <c r="O317" s="334"/>
      <c r="P317" s="334"/>
      <c r="Q317" s="334"/>
      <c r="R317" s="334"/>
      <c r="S317" s="334"/>
    </row>
    <row r="318">
      <c r="A318" s="334"/>
      <c r="B318" s="334"/>
      <c r="C318" s="334"/>
      <c r="D318" s="334"/>
      <c r="E318" s="334"/>
      <c r="F318" s="334"/>
      <c r="G318" s="334"/>
      <c r="H318" s="334"/>
      <c r="I318" s="334"/>
      <c r="J318" s="334"/>
      <c r="K318" s="334"/>
      <c r="L318" s="334"/>
      <c r="M318" s="334"/>
      <c r="N318" s="334"/>
      <c r="O318" s="334"/>
      <c r="P318" s="334"/>
      <c r="Q318" s="334"/>
      <c r="R318" s="334"/>
      <c r="S318" s="334"/>
    </row>
    <row r="319">
      <c r="A319" s="334"/>
      <c r="B319" s="334"/>
      <c r="C319" s="334"/>
      <c r="D319" s="334"/>
      <c r="E319" s="334"/>
      <c r="F319" s="334"/>
      <c r="G319" s="334"/>
      <c r="H319" s="334"/>
      <c r="I319" s="334"/>
      <c r="J319" s="334"/>
      <c r="K319" s="334"/>
      <c r="L319" s="334"/>
      <c r="M319" s="334"/>
      <c r="N319" s="334"/>
      <c r="O319" s="334"/>
      <c r="P319" s="334"/>
      <c r="Q319" s="334"/>
      <c r="R319" s="334"/>
      <c r="S319" s="334"/>
    </row>
    <row r="320">
      <c r="A320" s="334"/>
      <c r="B320" s="334"/>
      <c r="C320" s="334"/>
      <c r="D320" s="334"/>
      <c r="E320" s="334"/>
      <c r="F320" s="334"/>
      <c r="G320" s="334"/>
      <c r="H320" s="334"/>
      <c r="I320" s="334"/>
      <c r="J320" s="334"/>
      <c r="K320" s="334"/>
      <c r="L320" s="334"/>
      <c r="M320" s="334"/>
      <c r="N320" s="334"/>
      <c r="O320" s="334"/>
      <c r="P320" s="334"/>
      <c r="Q320" s="334"/>
      <c r="R320" s="334"/>
      <c r="S320" s="334"/>
    </row>
    <row r="321">
      <c r="A321" s="334"/>
      <c r="B321" s="334"/>
      <c r="C321" s="334"/>
      <c r="D321" s="334"/>
      <c r="E321" s="334"/>
      <c r="F321" s="334"/>
      <c r="G321" s="334"/>
      <c r="H321" s="334"/>
      <c r="I321" s="334"/>
      <c r="J321" s="334"/>
      <c r="K321" s="334"/>
      <c r="L321" s="334"/>
      <c r="M321" s="334"/>
      <c r="N321" s="334"/>
      <c r="O321" s="334"/>
      <c r="P321" s="334"/>
      <c r="Q321" s="334"/>
      <c r="R321" s="334"/>
      <c r="S321" s="334"/>
    </row>
    <row r="322">
      <c r="A322" s="334"/>
      <c r="B322" s="334"/>
      <c r="C322" s="334"/>
      <c r="D322" s="334"/>
      <c r="E322" s="334"/>
      <c r="F322" s="334"/>
      <c r="G322" s="334"/>
      <c r="H322" s="334"/>
      <c r="I322" s="334"/>
      <c r="J322" s="334"/>
      <c r="K322" s="334"/>
      <c r="L322" s="334"/>
      <c r="M322" s="334"/>
      <c r="N322" s="334"/>
      <c r="O322" s="334"/>
      <c r="P322" s="334"/>
      <c r="Q322" s="334"/>
      <c r="R322" s="334"/>
      <c r="S322" s="334"/>
    </row>
    <row r="323">
      <c r="A323" s="334"/>
      <c r="B323" s="334"/>
      <c r="C323" s="334"/>
      <c r="D323" s="334"/>
      <c r="E323" s="334"/>
      <c r="F323" s="334"/>
      <c r="G323" s="334"/>
      <c r="H323" s="334"/>
      <c r="I323" s="334"/>
      <c r="J323" s="334"/>
      <c r="K323" s="334"/>
      <c r="L323" s="334"/>
      <c r="M323" s="334"/>
      <c r="N323" s="334"/>
      <c r="O323" s="334"/>
      <c r="P323" s="334"/>
      <c r="Q323" s="334"/>
      <c r="R323" s="334"/>
      <c r="S323" s="334"/>
    </row>
    <row r="324">
      <c r="A324" s="334"/>
      <c r="B324" s="334"/>
      <c r="C324" s="334"/>
      <c r="D324" s="334"/>
      <c r="E324" s="334"/>
      <c r="F324" s="334"/>
      <c r="G324" s="334"/>
      <c r="H324" s="334"/>
      <c r="I324" s="334"/>
      <c r="J324" s="334"/>
      <c r="K324" s="334"/>
      <c r="L324" s="334"/>
      <c r="M324" s="334"/>
      <c r="N324" s="334"/>
      <c r="O324" s="334"/>
      <c r="P324" s="334"/>
      <c r="Q324" s="334"/>
      <c r="R324" s="334"/>
      <c r="S324" s="334"/>
    </row>
    <row r="325">
      <c r="A325" s="334"/>
      <c r="B325" s="334"/>
      <c r="C325" s="334"/>
      <c r="D325" s="334"/>
      <c r="E325" s="334"/>
      <c r="F325" s="334"/>
      <c r="G325" s="334"/>
      <c r="H325" s="334"/>
      <c r="I325" s="334"/>
      <c r="J325" s="334"/>
      <c r="K325" s="334"/>
      <c r="L325" s="334"/>
      <c r="M325" s="334"/>
      <c r="N325" s="334"/>
      <c r="O325" s="334"/>
      <c r="P325" s="334"/>
      <c r="Q325" s="334"/>
      <c r="R325" s="334"/>
      <c r="S325" s="334"/>
    </row>
    <row r="326">
      <c r="A326" s="334"/>
      <c r="B326" s="334"/>
      <c r="C326" s="334"/>
      <c r="D326" s="334"/>
      <c r="E326" s="334"/>
      <c r="F326" s="334"/>
      <c r="G326" s="334"/>
      <c r="H326" s="334"/>
      <c r="I326" s="334"/>
      <c r="J326" s="334"/>
      <c r="K326" s="334"/>
      <c r="L326" s="334"/>
      <c r="M326" s="334"/>
      <c r="N326" s="334"/>
      <c r="O326" s="334"/>
      <c r="P326" s="334"/>
      <c r="Q326" s="334"/>
      <c r="R326" s="334"/>
      <c r="S326" s="334"/>
    </row>
    <row r="327">
      <c r="A327" s="334"/>
      <c r="B327" s="334"/>
      <c r="C327" s="334"/>
      <c r="D327" s="334"/>
      <c r="E327" s="334"/>
      <c r="F327" s="334"/>
      <c r="G327" s="334"/>
      <c r="H327" s="334"/>
      <c r="I327" s="334"/>
      <c r="J327" s="334"/>
      <c r="K327" s="334"/>
      <c r="L327" s="334"/>
      <c r="M327" s="334"/>
      <c r="N327" s="334"/>
      <c r="O327" s="334"/>
      <c r="P327" s="334"/>
      <c r="Q327" s="334"/>
      <c r="R327" s="334"/>
      <c r="S327" s="334"/>
    </row>
    <row r="328">
      <c r="A328" s="334"/>
      <c r="B328" s="334"/>
      <c r="C328" s="334"/>
      <c r="D328" s="334"/>
      <c r="E328" s="334"/>
      <c r="F328" s="334"/>
      <c r="G328" s="334"/>
      <c r="H328" s="334"/>
      <c r="I328" s="334"/>
      <c r="J328" s="334"/>
      <c r="K328" s="334"/>
      <c r="L328" s="334"/>
      <c r="M328" s="334"/>
      <c r="N328" s="334"/>
      <c r="O328" s="334"/>
      <c r="P328" s="334"/>
      <c r="Q328" s="334"/>
      <c r="R328" s="334"/>
      <c r="S328" s="334"/>
    </row>
    <row r="329">
      <c r="A329" s="334"/>
      <c r="B329" s="334"/>
      <c r="C329" s="334"/>
      <c r="D329" s="334"/>
      <c r="E329" s="334"/>
      <c r="F329" s="334"/>
      <c r="G329" s="334"/>
      <c r="H329" s="334"/>
      <c r="I329" s="334"/>
      <c r="J329" s="334"/>
      <c r="K329" s="334"/>
      <c r="L329" s="334"/>
      <c r="M329" s="334"/>
      <c r="N329" s="334"/>
      <c r="O329" s="334"/>
      <c r="P329" s="334"/>
      <c r="Q329" s="334"/>
      <c r="R329" s="334"/>
      <c r="S329" s="334"/>
    </row>
    <row r="330">
      <c r="A330" s="334"/>
      <c r="B330" s="334"/>
      <c r="C330" s="334"/>
      <c r="D330" s="334"/>
      <c r="E330" s="334"/>
      <c r="F330" s="334"/>
      <c r="G330" s="334"/>
      <c r="H330" s="334"/>
      <c r="I330" s="334"/>
      <c r="J330" s="334"/>
      <c r="K330" s="334"/>
      <c r="L330" s="334"/>
      <c r="M330" s="334"/>
      <c r="N330" s="334"/>
      <c r="O330" s="334"/>
      <c r="P330" s="334"/>
      <c r="Q330" s="334"/>
      <c r="R330" s="334"/>
      <c r="S330" s="334"/>
    </row>
    <row r="331">
      <c r="A331" s="334"/>
      <c r="B331" s="334"/>
      <c r="C331" s="334"/>
      <c r="D331" s="334"/>
      <c r="E331" s="334"/>
      <c r="F331" s="334"/>
      <c r="G331" s="334"/>
      <c r="H331" s="334"/>
      <c r="I331" s="334"/>
      <c r="J331" s="334"/>
      <c r="K331" s="334"/>
      <c r="L331" s="334"/>
      <c r="M331" s="334"/>
      <c r="N331" s="334"/>
      <c r="O331" s="334"/>
      <c r="P331" s="334"/>
      <c r="Q331" s="334"/>
      <c r="R331" s="334"/>
      <c r="S331" s="334"/>
    </row>
    <row r="332">
      <c r="A332" s="334"/>
      <c r="B332" s="334"/>
      <c r="C332" s="334"/>
      <c r="D332" s="334"/>
      <c r="E332" s="334"/>
      <c r="F332" s="334"/>
      <c r="G332" s="334"/>
      <c r="H332" s="334"/>
      <c r="I332" s="334"/>
      <c r="J332" s="334"/>
      <c r="K332" s="334"/>
      <c r="L332" s="334"/>
      <c r="M332" s="334"/>
      <c r="N332" s="334"/>
      <c r="O332" s="334"/>
      <c r="P332" s="334"/>
      <c r="Q332" s="334"/>
      <c r="R332" s="334"/>
      <c r="S332" s="334"/>
    </row>
    <row r="333">
      <c r="A333" s="334"/>
      <c r="B333" s="334"/>
      <c r="C333" s="334"/>
      <c r="D333" s="334"/>
      <c r="E333" s="334"/>
      <c r="F333" s="334"/>
      <c r="G333" s="334"/>
      <c r="H333" s="334"/>
      <c r="I333" s="334"/>
      <c r="J333" s="334"/>
      <c r="K333" s="334"/>
      <c r="L333" s="334"/>
      <c r="M333" s="334"/>
      <c r="N333" s="334"/>
      <c r="O333" s="334"/>
      <c r="P333" s="334"/>
      <c r="Q333" s="334"/>
      <c r="R333" s="334"/>
      <c r="S333" s="334"/>
    </row>
    <row r="334">
      <c r="A334" s="334"/>
      <c r="B334" s="334"/>
      <c r="C334" s="334"/>
      <c r="D334" s="334"/>
      <c r="E334" s="334"/>
      <c r="F334" s="334"/>
      <c r="G334" s="334"/>
      <c r="H334" s="334"/>
      <c r="I334" s="334"/>
      <c r="J334" s="334"/>
      <c r="K334" s="334"/>
      <c r="L334" s="334"/>
      <c r="M334" s="334"/>
      <c r="N334" s="334"/>
      <c r="O334" s="334"/>
      <c r="P334" s="334"/>
      <c r="Q334" s="334"/>
      <c r="R334" s="334"/>
      <c r="S334" s="334"/>
    </row>
    <row r="335">
      <c r="A335" s="334"/>
      <c r="B335" s="334"/>
      <c r="C335" s="334"/>
      <c r="D335" s="334"/>
      <c r="E335" s="334"/>
      <c r="F335" s="334"/>
      <c r="G335" s="334"/>
      <c r="H335" s="334"/>
      <c r="I335" s="334"/>
      <c r="J335" s="334"/>
      <c r="K335" s="334"/>
      <c r="L335" s="334"/>
      <c r="M335" s="334"/>
      <c r="N335" s="334"/>
      <c r="O335" s="334"/>
      <c r="P335" s="334"/>
      <c r="Q335" s="334"/>
      <c r="R335" s="334"/>
      <c r="S335" s="334"/>
    </row>
    <row r="336">
      <c r="A336" s="334"/>
      <c r="B336" s="334"/>
      <c r="C336" s="334"/>
      <c r="D336" s="334"/>
      <c r="E336" s="334"/>
      <c r="F336" s="334"/>
      <c r="G336" s="334"/>
      <c r="H336" s="334"/>
      <c r="I336" s="334"/>
      <c r="J336" s="334"/>
      <c r="K336" s="334"/>
      <c r="L336" s="334"/>
      <c r="M336" s="334"/>
      <c r="N336" s="334"/>
      <c r="O336" s="334"/>
      <c r="P336" s="334"/>
      <c r="Q336" s="334"/>
      <c r="R336" s="334"/>
      <c r="S336" s="334"/>
    </row>
    <row r="337">
      <c r="A337" s="334"/>
      <c r="B337" s="334"/>
      <c r="C337" s="334"/>
      <c r="D337" s="334"/>
      <c r="E337" s="334"/>
      <c r="F337" s="334"/>
      <c r="G337" s="334"/>
      <c r="H337" s="334"/>
      <c r="I337" s="334"/>
      <c r="J337" s="334"/>
      <c r="K337" s="334"/>
      <c r="L337" s="334"/>
      <c r="M337" s="334"/>
      <c r="N337" s="334"/>
      <c r="O337" s="334"/>
      <c r="P337" s="334"/>
      <c r="Q337" s="334"/>
      <c r="R337" s="334"/>
      <c r="S337" s="334"/>
    </row>
    <row r="338">
      <c r="A338" s="334"/>
      <c r="B338" s="334"/>
      <c r="C338" s="334"/>
      <c r="D338" s="334"/>
      <c r="E338" s="334"/>
      <c r="F338" s="334"/>
      <c r="G338" s="334"/>
      <c r="H338" s="334"/>
      <c r="I338" s="334"/>
      <c r="J338" s="334"/>
      <c r="K338" s="334"/>
      <c r="L338" s="334"/>
      <c r="M338" s="334"/>
      <c r="N338" s="334"/>
      <c r="O338" s="334"/>
      <c r="P338" s="334"/>
      <c r="Q338" s="334"/>
      <c r="R338" s="334"/>
      <c r="S338" s="334"/>
    </row>
    <row r="339">
      <c r="A339" s="334"/>
      <c r="B339" s="334"/>
      <c r="C339" s="334"/>
      <c r="D339" s="334"/>
      <c r="E339" s="334"/>
      <c r="F339" s="334"/>
      <c r="G339" s="334"/>
      <c r="H339" s="334"/>
      <c r="I339" s="334"/>
      <c r="J339" s="334"/>
      <c r="K339" s="334"/>
      <c r="L339" s="334"/>
      <c r="M339" s="334"/>
      <c r="N339" s="334"/>
      <c r="O339" s="334"/>
      <c r="P339" s="334"/>
      <c r="Q339" s="334"/>
      <c r="R339" s="334"/>
      <c r="S339" s="334"/>
    </row>
    <row r="340">
      <c r="A340" s="334"/>
      <c r="B340" s="334"/>
      <c r="C340" s="334"/>
      <c r="D340" s="334"/>
      <c r="E340" s="334"/>
      <c r="F340" s="334"/>
      <c r="G340" s="334"/>
      <c r="H340" s="334"/>
      <c r="I340" s="334"/>
      <c r="J340" s="334"/>
      <c r="K340" s="334"/>
      <c r="L340" s="334"/>
      <c r="M340" s="334"/>
      <c r="N340" s="334"/>
      <c r="O340" s="334"/>
      <c r="P340" s="334"/>
      <c r="Q340" s="334"/>
      <c r="R340" s="334"/>
      <c r="S340" s="334"/>
    </row>
    <row r="341">
      <c r="A341" s="334"/>
      <c r="B341" s="334"/>
      <c r="C341" s="334"/>
      <c r="D341" s="334"/>
      <c r="E341" s="334"/>
      <c r="F341" s="334"/>
      <c r="G341" s="334"/>
      <c r="H341" s="334"/>
      <c r="I341" s="334"/>
      <c r="J341" s="334"/>
      <c r="K341" s="334"/>
      <c r="L341" s="334"/>
      <c r="M341" s="334"/>
      <c r="N341" s="334"/>
      <c r="O341" s="334"/>
      <c r="P341" s="334"/>
      <c r="Q341" s="334"/>
      <c r="R341" s="334"/>
      <c r="S341" s="334"/>
    </row>
    <row r="342">
      <c r="A342" s="334"/>
      <c r="B342" s="334"/>
      <c r="C342" s="334"/>
      <c r="D342" s="334"/>
      <c r="E342" s="334"/>
      <c r="F342" s="334"/>
      <c r="G342" s="334"/>
      <c r="H342" s="334"/>
      <c r="I342" s="334"/>
      <c r="J342" s="334"/>
      <c r="K342" s="334"/>
      <c r="L342" s="334"/>
      <c r="M342" s="334"/>
      <c r="N342" s="334"/>
      <c r="O342" s="334"/>
      <c r="P342" s="334"/>
      <c r="Q342" s="334"/>
      <c r="R342" s="334"/>
      <c r="S342" s="334"/>
    </row>
    <row r="343">
      <c r="A343" s="334"/>
      <c r="B343" s="334"/>
      <c r="C343" s="334"/>
      <c r="D343" s="334"/>
      <c r="E343" s="334"/>
      <c r="F343" s="334"/>
      <c r="G343" s="334"/>
      <c r="H343" s="334"/>
      <c r="I343" s="334"/>
      <c r="J343" s="334"/>
      <c r="K343" s="334"/>
      <c r="L343" s="334"/>
      <c r="M343" s="334"/>
      <c r="N343" s="334"/>
      <c r="O343" s="334"/>
      <c r="P343" s="334"/>
      <c r="Q343" s="334"/>
      <c r="R343" s="334"/>
      <c r="S343" s="334"/>
    </row>
    <row r="344">
      <c r="A344" s="334"/>
      <c r="B344" s="334"/>
      <c r="C344" s="334"/>
      <c r="D344" s="334"/>
      <c r="E344" s="334"/>
      <c r="F344" s="334"/>
      <c r="G344" s="334"/>
      <c r="H344" s="334"/>
      <c r="I344" s="334"/>
      <c r="J344" s="334"/>
      <c r="K344" s="334"/>
      <c r="L344" s="334"/>
      <c r="M344" s="334"/>
      <c r="N344" s="334"/>
      <c r="O344" s="334"/>
      <c r="P344" s="334"/>
      <c r="Q344" s="334"/>
      <c r="R344" s="334"/>
      <c r="S344" s="334"/>
    </row>
    <row r="345">
      <c r="A345" s="334"/>
      <c r="B345" s="334"/>
      <c r="C345" s="334"/>
      <c r="D345" s="334"/>
      <c r="E345" s="334"/>
      <c r="F345" s="334"/>
      <c r="G345" s="334"/>
      <c r="H345" s="334"/>
      <c r="I345" s="334"/>
      <c r="J345" s="334"/>
      <c r="K345" s="334"/>
      <c r="L345" s="334"/>
      <c r="M345" s="334"/>
      <c r="N345" s="334"/>
      <c r="O345" s="334"/>
      <c r="P345" s="334"/>
      <c r="Q345" s="334"/>
      <c r="R345" s="334"/>
      <c r="S345" s="334"/>
    </row>
    <row r="346">
      <c r="A346" s="334"/>
      <c r="B346" s="334"/>
      <c r="C346" s="334"/>
      <c r="D346" s="334"/>
      <c r="E346" s="334"/>
      <c r="F346" s="334"/>
      <c r="G346" s="334"/>
      <c r="H346" s="334"/>
      <c r="I346" s="334"/>
      <c r="J346" s="334"/>
      <c r="K346" s="334"/>
      <c r="L346" s="334"/>
      <c r="M346" s="334"/>
      <c r="N346" s="334"/>
      <c r="O346" s="334"/>
      <c r="P346" s="334"/>
      <c r="Q346" s="334"/>
      <c r="R346" s="334"/>
      <c r="S346" s="334"/>
    </row>
    <row r="347">
      <c r="A347" s="334"/>
      <c r="B347" s="334"/>
      <c r="C347" s="334"/>
      <c r="D347" s="334"/>
      <c r="E347" s="334"/>
      <c r="F347" s="334"/>
      <c r="G347" s="334"/>
      <c r="H347" s="334"/>
      <c r="I347" s="334"/>
      <c r="J347" s="334"/>
      <c r="K347" s="334"/>
      <c r="L347" s="334"/>
      <c r="M347" s="334"/>
      <c r="N347" s="334"/>
      <c r="O347" s="334"/>
      <c r="P347" s="334"/>
      <c r="Q347" s="334"/>
      <c r="R347" s="334"/>
      <c r="S347" s="334"/>
    </row>
    <row r="348">
      <c r="A348" s="334"/>
      <c r="B348" s="334"/>
      <c r="C348" s="334"/>
      <c r="D348" s="334"/>
      <c r="E348" s="334"/>
      <c r="F348" s="334"/>
      <c r="G348" s="334"/>
      <c r="H348" s="334"/>
      <c r="I348" s="334"/>
      <c r="J348" s="334"/>
      <c r="K348" s="334"/>
      <c r="L348" s="334"/>
      <c r="M348" s="334"/>
      <c r="N348" s="334"/>
      <c r="O348" s="334"/>
      <c r="P348" s="334"/>
      <c r="Q348" s="334"/>
      <c r="R348" s="334"/>
      <c r="S348" s="334"/>
    </row>
    <row r="349">
      <c r="A349" s="334"/>
      <c r="B349" s="334"/>
      <c r="C349" s="334"/>
      <c r="D349" s="334"/>
      <c r="E349" s="334"/>
      <c r="F349" s="334"/>
      <c r="G349" s="334"/>
      <c r="H349" s="334"/>
      <c r="I349" s="334"/>
      <c r="J349" s="334"/>
      <c r="K349" s="334"/>
      <c r="L349" s="334"/>
      <c r="M349" s="334"/>
      <c r="N349" s="334"/>
      <c r="O349" s="334"/>
      <c r="P349" s="334"/>
      <c r="Q349" s="334"/>
      <c r="R349" s="334"/>
      <c r="S349" s="334"/>
    </row>
    <row r="350">
      <c r="A350" s="334"/>
      <c r="B350" s="334"/>
      <c r="C350" s="334"/>
      <c r="D350" s="334"/>
      <c r="E350" s="334"/>
      <c r="F350" s="334"/>
      <c r="G350" s="334"/>
      <c r="H350" s="334"/>
      <c r="I350" s="334"/>
      <c r="J350" s="334"/>
      <c r="K350" s="334"/>
      <c r="L350" s="334"/>
      <c r="M350" s="334"/>
      <c r="N350" s="334"/>
      <c r="O350" s="334"/>
      <c r="P350" s="334"/>
      <c r="Q350" s="334"/>
      <c r="R350" s="334"/>
      <c r="S350" s="334"/>
    </row>
    <row r="351">
      <c r="A351" s="334"/>
      <c r="B351" s="334"/>
      <c r="C351" s="334"/>
      <c r="D351" s="334"/>
      <c r="E351" s="334"/>
      <c r="F351" s="334"/>
      <c r="G351" s="334"/>
      <c r="H351" s="334"/>
      <c r="I351" s="334"/>
      <c r="J351" s="334"/>
      <c r="K351" s="334"/>
      <c r="L351" s="334"/>
      <c r="M351" s="334"/>
      <c r="N351" s="334"/>
      <c r="O351" s="334"/>
      <c r="P351" s="334"/>
      <c r="Q351" s="334"/>
      <c r="R351" s="334"/>
      <c r="S351" s="334"/>
    </row>
    <row r="352">
      <c r="A352" s="334"/>
      <c r="B352" s="334"/>
      <c r="C352" s="334"/>
      <c r="D352" s="334"/>
      <c r="E352" s="334"/>
      <c r="F352" s="334"/>
      <c r="G352" s="334"/>
      <c r="H352" s="334"/>
      <c r="I352" s="334"/>
      <c r="J352" s="334"/>
      <c r="K352" s="334"/>
      <c r="L352" s="334"/>
      <c r="M352" s="334"/>
      <c r="N352" s="334"/>
      <c r="O352" s="334"/>
      <c r="P352" s="334"/>
      <c r="Q352" s="334"/>
      <c r="R352" s="334"/>
      <c r="S352" s="334"/>
    </row>
    <row r="353">
      <c r="A353" s="334"/>
      <c r="B353" s="334"/>
      <c r="C353" s="334"/>
      <c r="D353" s="334"/>
      <c r="E353" s="334"/>
      <c r="F353" s="334"/>
      <c r="G353" s="334"/>
      <c r="H353" s="334"/>
      <c r="I353" s="334"/>
      <c r="J353" s="334"/>
      <c r="K353" s="334"/>
      <c r="L353" s="334"/>
      <c r="M353" s="334"/>
      <c r="N353" s="334"/>
      <c r="O353" s="334"/>
      <c r="P353" s="334"/>
      <c r="Q353" s="334"/>
      <c r="R353" s="334"/>
      <c r="S353" s="334"/>
    </row>
    <row r="354">
      <c r="A354" s="334"/>
      <c r="B354" s="334"/>
      <c r="C354" s="334"/>
      <c r="D354" s="334"/>
      <c r="E354" s="334"/>
      <c r="F354" s="334"/>
      <c r="G354" s="334"/>
      <c r="H354" s="334"/>
      <c r="I354" s="334"/>
      <c r="J354" s="334"/>
      <c r="K354" s="334"/>
      <c r="L354" s="334"/>
      <c r="M354" s="334"/>
      <c r="N354" s="334"/>
      <c r="O354" s="334"/>
      <c r="P354" s="334"/>
      <c r="Q354" s="334"/>
      <c r="R354" s="334"/>
      <c r="S354" s="334"/>
    </row>
    <row r="355">
      <c r="A355" s="334"/>
      <c r="B355" s="334"/>
      <c r="C355" s="334"/>
      <c r="D355" s="334"/>
      <c r="E355" s="334"/>
      <c r="F355" s="334"/>
      <c r="G355" s="334"/>
      <c r="H355" s="334"/>
      <c r="I355" s="334"/>
      <c r="J355" s="334"/>
      <c r="K355" s="334"/>
      <c r="L355" s="334"/>
      <c r="M355" s="334"/>
      <c r="N355" s="334"/>
      <c r="O355" s="334"/>
      <c r="P355" s="334"/>
      <c r="Q355" s="334"/>
      <c r="R355" s="334"/>
      <c r="S355" s="334"/>
    </row>
    <row r="356">
      <c r="A356" s="334"/>
      <c r="B356" s="334"/>
      <c r="C356" s="334"/>
      <c r="D356" s="334"/>
      <c r="E356" s="334"/>
      <c r="F356" s="334"/>
      <c r="G356" s="334"/>
      <c r="H356" s="334"/>
      <c r="I356" s="334"/>
      <c r="J356" s="334"/>
      <c r="K356" s="334"/>
      <c r="L356" s="334"/>
      <c r="M356" s="334"/>
      <c r="N356" s="334"/>
      <c r="O356" s="334"/>
      <c r="P356" s="334"/>
      <c r="Q356" s="334"/>
      <c r="R356" s="334"/>
      <c r="S356" s="334"/>
    </row>
    <row r="357">
      <c r="A357" s="334"/>
      <c r="B357" s="334"/>
      <c r="C357" s="334"/>
      <c r="D357" s="334"/>
      <c r="E357" s="334"/>
      <c r="F357" s="334"/>
      <c r="G357" s="334"/>
      <c r="H357" s="334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</row>
    <row r="358">
      <c r="A358" s="334"/>
      <c r="B358" s="334"/>
      <c r="C358" s="334"/>
      <c r="D358" s="334"/>
      <c r="E358" s="334"/>
      <c r="F358" s="334"/>
      <c r="G358" s="334"/>
      <c r="H358" s="334"/>
      <c r="I358" s="334"/>
      <c r="J358" s="334"/>
      <c r="K358" s="334"/>
      <c r="L358" s="334"/>
      <c r="M358" s="334"/>
      <c r="N358" s="334"/>
      <c r="O358" s="334"/>
      <c r="P358" s="334"/>
      <c r="Q358" s="334"/>
      <c r="R358" s="334"/>
      <c r="S358" s="334"/>
    </row>
    <row r="359">
      <c r="A359" s="334"/>
      <c r="B359" s="334"/>
      <c r="C359" s="334"/>
      <c r="D359" s="334"/>
      <c r="E359" s="334"/>
      <c r="F359" s="334"/>
      <c r="G359" s="334"/>
      <c r="H359" s="334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</row>
    <row r="360">
      <c r="A360" s="334"/>
      <c r="B360" s="334"/>
      <c r="C360" s="334"/>
      <c r="D360" s="334"/>
      <c r="E360" s="334"/>
      <c r="F360" s="334"/>
      <c r="G360" s="334"/>
      <c r="H360" s="334"/>
      <c r="I360" s="334"/>
      <c r="J360" s="334"/>
      <c r="K360" s="334"/>
      <c r="L360" s="334"/>
      <c r="M360" s="334"/>
      <c r="N360" s="334"/>
      <c r="O360" s="334"/>
      <c r="P360" s="334"/>
      <c r="Q360" s="334"/>
      <c r="R360" s="334"/>
      <c r="S360" s="334"/>
    </row>
    <row r="361">
      <c r="A361" s="334"/>
      <c r="B361" s="334"/>
      <c r="C361" s="334"/>
      <c r="D361" s="334"/>
      <c r="E361" s="334"/>
      <c r="F361" s="334"/>
      <c r="G361" s="334"/>
      <c r="H361" s="334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</row>
    <row r="362">
      <c r="A362" s="334"/>
      <c r="B362" s="334"/>
      <c r="C362" s="334"/>
      <c r="D362" s="334"/>
      <c r="E362" s="334"/>
      <c r="F362" s="334"/>
      <c r="G362" s="334"/>
      <c r="H362" s="334"/>
      <c r="I362" s="334"/>
      <c r="J362" s="334"/>
      <c r="K362" s="334"/>
      <c r="L362" s="334"/>
      <c r="M362" s="334"/>
      <c r="N362" s="334"/>
      <c r="O362" s="334"/>
      <c r="P362" s="334"/>
      <c r="Q362" s="334"/>
      <c r="R362" s="334"/>
      <c r="S362" s="334"/>
    </row>
    <row r="363">
      <c r="A363" s="334"/>
      <c r="B363" s="334"/>
      <c r="C363" s="334"/>
      <c r="D363" s="334"/>
      <c r="E363" s="334"/>
      <c r="F363" s="334"/>
      <c r="G363" s="334"/>
      <c r="H363" s="334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</row>
    <row r="364">
      <c r="A364" s="334"/>
      <c r="B364" s="334"/>
      <c r="C364" s="334"/>
      <c r="D364" s="334"/>
      <c r="E364" s="334"/>
      <c r="F364" s="334"/>
      <c r="G364" s="334"/>
      <c r="H364" s="334"/>
      <c r="I364" s="334"/>
      <c r="J364" s="334"/>
      <c r="K364" s="334"/>
      <c r="L364" s="334"/>
      <c r="M364" s="334"/>
      <c r="N364" s="334"/>
      <c r="O364" s="334"/>
      <c r="P364" s="334"/>
      <c r="Q364" s="334"/>
      <c r="R364" s="334"/>
      <c r="S364" s="334"/>
    </row>
    <row r="365">
      <c r="A365" s="334"/>
      <c r="B365" s="334"/>
      <c r="C365" s="334"/>
      <c r="D365" s="334"/>
      <c r="E365" s="334"/>
      <c r="F365" s="334"/>
      <c r="G365" s="334"/>
      <c r="H365" s="334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</row>
    <row r="366">
      <c r="A366" s="334"/>
      <c r="B366" s="334"/>
      <c r="C366" s="334"/>
      <c r="D366" s="334"/>
      <c r="E366" s="334"/>
      <c r="F366" s="334"/>
      <c r="G366" s="334"/>
      <c r="H366" s="334"/>
      <c r="I366" s="334"/>
      <c r="J366" s="334"/>
      <c r="K366" s="334"/>
      <c r="L366" s="334"/>
      <c r="M366" s="334"/>
      <c r="N366" s="334"/>
      <c r="O366" s="334"/>
      <c r="P366" s="334"/>
      <c r="Q366" s="334"/>
      <c r="R366" s="334"/>
      <c r="S366" s="334"/>
    </row>
    <row r="367">
      <c r="A367" s="334"/>
      <c r="B367" s="334"/>
      <c r="C367" s="334"/>
      <c r="D367" s="334"/>
      <c r="E367" s="334"/>
      <c r="F367" s="334"/>
      <c r="G367" s="334"/>
      <c r="H367" s="334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</row>
    <row r="368">
      <c r="A368" s="334"/>
      <c r="B368" s="334"/>
      <c r="C368" s="334"/>
      <c r="D368" s="334"/>
      <c r="E368" s="334"/>
      <c r="F368" s="334"/>
      <c r="G368" s="334"/>
      <c r="H368" s="334"/>
      <c r="I368" s="334"/>
      <c r="J368" s="334"/>
      <c r="K368" s="334"/>
      <c r="L368" s="334"/>
      <c r="M368" s="334"/>
      <c r="N368" s="334"/>
      <c r="O368" s="334"/>
      <c r="P368" s="334"/>
      <c r="Q368" s="334"/>
      <c r="R368" s="334"/>
      <c r="S368" s="334"/>
    </row>
    <row r="369">
      <c r="A369" s="334"/>
      <c r="B369" s="334"/>
      <c r="C369" s="334"/>
      <c r="D369" s="334"/>
      <c r="E369" s="334"/>
      <c r="F369" s="334"/>
      <c r="G369" s="334"/>
      <c r="H369" s="334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</row>
    <row r="370">
      <c r="A370" s="334"/>
      <c r="B370" s="334"/>
      <c r="C370" s="334"/>
      <c r="D370" s="334"/>
      <c r="E370" s="334"/>
      <c r="F370" s="334"/>
      <c r="G370" s="334"/>
      <c r="H370" s="334"/>
      <c r="I370" s="334"/>
      <c r="J370" s="334"/>
      <c r="K370" s="334"/>
      <c r="L370" s="334"/>
      <c r="M370" s="334"/>
      <c r="N370" s="334"/>
      <c r="O370" s="334"/>
      <c r="P370" s="334"/>
      <c r="Q370" s="334"/>
      <c r="R370" s="334"/>
      <c r="S370" s="334"/>
    </row>
    <row r="371">
      <c r="A371" s="334"/>
      <c r="B371" s="334"/>
      <c r="C371" s="334"/>
      <c r="D371" s="334"/>
      <c r="E371" s="334"/>
      <c r="F371" s="334"/>
      <c r="G371" s="334"/>
      <c r="H371" s="334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</row>
    <row r="372">
      <c r="A372" s="334"/>
      <c r="B372" s="334"/>
      <c r="C372" s="334"/>
      <c r="D372" s="334"/>
      <c r="E372" s="334"/>
      <c r="F372" s="334"/>
      <c r="G372" s="334"/>
      <c r="H372" s="334"/>
      <c r="I372" s="334"/>
      <c r="J372" s="334"/>
      <c r="K372" s="334"/>
      <c r="L372" s="334"/>
      <c r="M372" s="334"/>
      <c r="N372" s="334"/>
      <c r="O372" s="334"/>
      <c r="P372" s="334"/>
      <c r="Q372" s="334"/>
      <c r="R372" s="334"/>
      <c r="S372" s="334"/>
    </row>
    <row r="373">
      <c r="A373" s="334"/>
      <c r="B373" s="334"/>
      <c r="C373" s="334"/>
      <c r="D373" s="334"/>
      <c r="E373" s="334"/>
      <c r="F373" s="334"/>
      <c r="G373" s="334"/>
      <c r="H373" s="334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</row>
    <row r="374">
      <c r="A374" s="334"/>
      <c r="B374" s="334"/>
      <c r="C374" s="334"/>
      <c r="D374" s="334"/>
      <c r="E374" s="334"/>
      <c r="F374" s="334"/>
      <c r="G374" s="334"/>
      <c r="H374" s="334"/>
      <c r="I374" s="334"/>
      <c r="J374" s="334"/>
      <c r="K374" s="334"/>
      <c r="L374" s="334"/>
      <c r="M374" s="334"/>
      <c r="N374" s="334"/>
      <c r="O374" s="334"/>
      <c r="P374" s="334"/>
      <c r="Q374" s="334"/>
      <c r="R374" s="334"/>
      <c r="S374" s="334"/>
    </row>
    <row r="375">
      <c r="A375" s="334"/>
      <c r="B375" s="334"/>
      <c r="C375" s="334"/>
      <c r="D375" s="334"/>
      <c r="E375" s="334"/>
      <c r="F375" s="334"/>
      <c r="G375" s="334"/>
      <c r="H375" s="334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</row>
    <row r="376">
      <c r="A376" s="334"/>
      <c r="B376" s="334"/>
      <c r="C376" s="334"/>
      <c r="D376" s="334"/>
      <c r="E376" s="334"/>
      <c r="F376" s="334"/>
      <c r="G376" s="334"/>
      <c r="H376" s="334"/>
      <c r="I376" s="334"/>
      <c r="J376" s="334"/>
      <c r="K376" s="334"/>
      <c r="L376" s="334"/>
      <c r="M376" s="334"/>
      <c r="N376" s="334"/>
      <c r="O376" s="334"/>
      <c r="P376" s="334"/>
      <c r="Q376" s="334"/>
      <c r="R376" s="334"/>
      <c r="S376" s="334"/>
    </row>
    <row r="377">
      <c r="A377" s="334"/>
      <c r="B377" s="334"/>
      <c r="C377" s="334"/>
      <c r="D377" s="334"/>
      <c r="E377" s="334"/>
      <c r="F377" s="334"/>
      <c r="G377" s="334"/>
      <c r="H377" s="334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</row>
    <row r="378">
      <c r="A378" s="334"/>
      <c r="B378" s="334"/>
      <c r="C378" s="334"/>
      <c r="D378" s="334"/>
      <c r="E378" s="334"/>
      <c r="F378" s="334"/>
      <c r="G378" s="334"/>
      <c r="H378" s="334"/>
      <c r="I378" s="334"/>
      <c r="J378" s="334"/>
      <c r="K378" s="334"/>
      <c r="L378" s="334"/>
      <c r="M378" s="334"/>
      <c r="N378" s="334"/>
      <c r="O378" s="334"/>
      <c r="P378" s="334"/>
      <c r="Q378" s="334"/>
      <c r="R378" s="334"/>
      <c r="S378" s="334"/>
    </row>
    <row r="379">
      <c r="A379" s="334"/>
      <c r="B379" s="334"/>
      <c r="C379" s="334"/>
      <c r="D379" s="334"/>
      <c r="E379" s="334"/>
      <c r="F379" s="334"/>
      <c r="G379" s="334"/>
      <c r="H379" s="334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</row>
    <row r="380">
      <c r="A380" s="334"/>
      <c r="B380" s="334"/>
      <c r="C380" s="334"/>
      <c r="D380" s="334"/>
      <c r="E380" s="334"/>
      <c r="F380" s="334"/>
      <c r="G380" s="334"/>
      <c r="H380" s="334"/>
      <c r="I380" s="334"/>
      <c r="J380" s="334"/>
      <c r="K380" s="334"/>
      <c r="L380" s="334"/>
      <c r="M380" s="334"/>
      <c r="N380" s="334"/>
      <c r="O380" s="334"/>
      <c r="P380" s="334"/>
      <c r="Q380" s="334"/>
      <c r="R380" s="334"/>
      <c r="S380" s="334"/>
    </row>
    <row r="381">
      <c r="A381" s="334"/>
      <c r="B381" s="334"/>
      <c r="C381" s="334"/>
      <c r="D381" s="334"/>
      <c r="E381" s="334"/>
      <c r="F381" s="334"/>
      <c r="G381" s="334"/>
      <c r="H381" s="334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</row>
    <row r="382">
      <c r="A382" s="334"/>
      <c r="B382" s="334"/>
      <c r="C382" s="334"/>
      <c r="D382" s="334"/>
      <c r="E382" s="334"/>
      <c r="F382" s="334"/>
      <c r="G382" s="334"/>
      <c r="H382" s="334"/>
      <c r="I382" s="334"/>
      <c r="J382" s="334"/>
      <c r="K382" s="334"/>
      <c r="L382" s="334"/>
      <c r="M382" s="334"/>
      <c r="N382" s="334"/>
      <c r="O382" s="334"/>
      <c r="P382" s="334"/>
      <c r="Q382" s="334"/>
      <c r="R382" s="334"/>
      <c r="S382" s="334"/>
    </row>
    <row r="383">
      <c r="A383" s="334"/>
      <c r="B383" s="334"/>
      <c r="C383" s="334"/>
      <c r="D383" s="334"/>
      <c r="E383" s="334"/>
      <c r="F383" s="334"/>
      <c r="G383" s="334"/>
      <c r="H383" s="334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</row>
    <row r="384">
      <c r="A384" s="334"/>
      <c r="B384" s="334"/>
      <c r="C384" s="334"/>
      <c r="D384" s="334"/>
      <c r="E384" s="334"/>
      <c r="F384" s="334"/>
      <c r="G384" s="334"/>
      <c r="H384" s="334"/>
      <c r="I384" s="334"/>
      <c r="J384" s="334"/>
      <c r="K384" s="334"/>
      <c r="L384" s="334"/>
      <c r="M384" s="334"/>
      <c r="N384" s="334"/>
      <c r="O384" s="334"/>
      <c r="P384" s="334"/>
      <c r="Q384" s="334"/>
      <c r="R384" s="334"/>
      <c r="S384" s="334"/>
    </row>
    <row r="385">
      <c r="A385" s="334"/>
      <c r="B385" s="334"/>
      <c r="C385" s="334"/>
      <c r="D385" s="334"/>
      <c r="E385" s="334"/>
      <c r="F385" s="334"/>
      <c r="G385" s="334"/>
      <c r="H385" s="334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</row>
    <row r="386">
      <c r="A386" s="334"/>
      <c r="B386" s="334"/>
      <c r="C386" s="334"/>
      <c r="D386" s="334"/>
      <c r="E386" s="334"/>
      <c r="F386" s="334"/>
      <c r="G386" s="334"/>
      <c r="H386" s="334"/>
      <c r="I386" s="334"/>
      <c r="J386" s="334"/>
      <c r="K386" s="334"/>
      <c r="L386" s="334"/>
      <c r="M386" s="334"/>
      <c r="N386" s="334"/>
      <c r="O386" s="334"/>
      <c r="P386" s="334"/>
      <c r="Q386" s="334"/>
      <c r="R386" s="334"/>
      <c r="S386" s="334"/>
    </row>
    <row r="387">
      <c r="A387" s="334"/>
      <c r="B387" s="334"/>
      <c r="C387" s="334"/>
      <c r="D387" s="334"/>
      <c r="E387" s="334"/>
      <c r="F387" s="334"/>
      <c r="G387" s="334"/>
      <c r="H387" s="334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</row>
    <row r="388">
      <c r="A388" s="334"/>
      <c r="B388" s="334"/>
      <c r="C388" s="334"/>
      <c r="D388" s="334"/>
      <c r="E388" s="334"/>
      <c r="F388" s="334"/>
      <c r="G388" s="334"/>
      <c r="H388" s="334"/>
      <c r="I388" s="334"/>
      <c r="J388" s="334"/>
      <c r="K388" s="334"/>
      <c r="L388" s="334"/>
      <c r="M388" s="334"/>
      <c r="N388" s="334"/>
      <c r="O388" s="334"/>
      <c r="P388" s="334"/>
      <c r="Q388" s="334"/>
      <c r="R388" s="334"/>
      <c r="S388" s="334"/>
    </row>
    <row r="389">
      <c r="A389" s="334"/>
      <c r="B389" s="334"/>
      <c r="C389" s="334"/>
      <c r="D389" s="334"/>
      <c r="E389" s="334"/>
      <c r="F389" s="334"/>
      <c r="G389" s="334"/>
      <c r="H389" s="334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</row>
    <row r="390">
      <c r="A390" s="334"/>
      <c r="B390" s="334"/>
      <c r="C390" s="334"/>
      <c r="D390" s="334"/>
      <c r="E390" s="334"/>
      <c r="F390" s="334"/>
      <c r="G390" s="334"/>
      <c r="H390" s="334"/>
      <c r="I390" s="334"/>
      <c r="J390" s="334"/>
      <c r="K390" s="334"/>
      <c r="L390" s="334"/>
      <c r="M390" s="334"/>
      <c r="N390" s="334"/>
      <c r="O390" s="334"/>
      <c r="P390" s="334"/>
      <c r="Q390" s="334"/>
      <c r="R390" s="334"/>
      <c r="S390" s="334"/>
    </row>
    <row r="391">
      <c r="A391" s="334"/>
      <c r="B391" s="334"/>
      <c r="C391" s="334"/>
      <c r="D391" s="334"/>
      <c r="E391" s="334"/>
      <c r="F391" s="334"/>
      <c r="G391" s="334"/>
      <c r="H391" s="334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</row>
    <row r="392">
      <c r="A392" s="334"/>
      <c r="B392" s="334"/>
      <c r="C392" s="334"/>
      <c r="D392" s="334"/>
      <c r="E392" s="334"/>
      <c r="F392" s="334"/>
      <c r="G392" s="334"/>
      <c r="H392" s="334"/>
      <c r="I392" s="334"/>
      <c r="J392" s="334"/>
      <c r="K392" s="334"/>
      <c r="L392" s="334"/>
      <c r="M392" s="334"/>
      <c r="N392" s="334"/>
      <c r="O392" s="334"/>
      <c r="P392" s="334"/>
      <c r="Q392" s="334"/>
      <c r="R392" s="334"/>
      <c r="S392" s="334"/>
    </row>
    <row r="393">
      <c r="A393" s="334"/>
      <c r="B393" s="334"/>
      <c r="C393" s="334"/>
      <c r="D393" s="334"/>
      <c r="E393" s="334"/>
      <c r="F393" s="334"/>
      <c r="G393" s="334"/>
      <c r="H393" s="334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</row>
    <row r="394">
      <c r="A394" s="334"/>
      <c r="B394" s="334"/>
      <c r="C394" s="334"/>
      <c r="D394" s="334"/>
      <c r="E394" s="334"/>
      <c r="F394" s="334"/>
      <c r="G394" s="334"/>
      <c r="H394" s="334"/>
      <c r="I394" s="334"/>
      <c r="J394" s="334"/>
      <c r="K394" s="334"/>
      <c r="L394" s="334"/>
      <c r="M394" s="334"/>
      <c r="N394" s="334"/>
      <c r="O394" s="334"/>
      <c r="P394" s="334"/>
      <c r="Q394" s="334"/>
      <c r="R394" s="334"/>
      <c r="S394" s="334"/>
    </row>
    <row r="395">
      <c r="A395" s="334"/>
      <c r="B395" s="334"/>
      <c r="C395" s="334"/>
      <c r="D395" s="334"/>
      <c r="E395" s="334"/>
      <c r="F395" s="334"/>
      <c r="G395" s="334"/>
      <c r="H395" s="334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</row>
    <row r="396">
      <c r="A396" s="334"/>
      <c r="B396" s="334"/>
      <c r="C396" s="334"/>
      <c r="D396" s="334"/>
      <c r="E396" s="334"/>
      <c r="F396" s="334"/>
      <c r="G396" s="334"/>
      <c r="H396" s="334"/>
      <c r="I396" s="334"/>
      <c r="J396" s="334"/>
      <c r="K396" s="334"/>
      <c r="L396" s="334"/>
      <c r="M396" s="334"/>
      <c r="N396" s="334"/>
      <c r="O396" s="334"/>
      <c r="P396" s="334"/>
      <c r="Q396" s="334"/>
      <c r="R396" s="334"/>
      <c r="S396" s="334"/>
    </row>
    <row r="397">
      <c r="A397" s="334"/>
      <c r="B397" s="334"/>
      <c r="C397" s="334"/>
      <c r="D397" s="334"/>
      <c r="E397" s="334"/>
      <c r="F397" s="334"/>
      <c r="G397" s="334"/>
      <c r="H397" s="334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</row>
    <row r="398">
      <c r="A398" s="334"/>
      <c r="B398" s="334"/>
      <c r="C398" s="334"/>
      <c r="D398" s="334"/>
      <c r="E398" s="334"/>
      <c r="F398" s="334"/>
      <c r="G398" s="334"/>
      <c r="H398" s="334"/>
      <c r="I398" s="334"/>
      <c r="J398" s="334"/>
      <c r="K398" s="334"/>
      <c r="L398" s="334"/>
      <c r="M398" s="334"/>
      <c r="N398" s="334"/>
      <c r="O398" s="334"/>
      <c r="P398" s="334"/>
      <c r="Q398" s="334"/>
      <c r="R398" s="334"/>
      <c r="S398" s="334"/>
    </row>
    <row r="399">
      <c r="A399" s="334"/>
      <c r="B399" s="334"/>
      <c r="C399" s="334"/>
      <c r="D399" s="334"/>
      <c r="E399" s="334"/>
      <c r="F399" s="334"/>
      <c r="G399" s="334"/>
      <c r="H399" s="334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</row>
    <row r="400">
      <c r="A400" s="334"/>
      <c r="B400" s="334"/>
      <c r="C400" s="334"/>
      <c r="D400" s="334"/>
      <c r="E400" s="334"/>
      <c r="F400" s="334"/>
      <c r="G400" s="334"/>
      <c r="H400" s="334"/>
      <c r="I400" s="334"/>
      <c r="J400" s="334"/>
      <c r="K400" s="334"/>
      <c r="L400" s="334"/>
      <c r="M400" s="334"/>
      <c r="N400" s="334"/>
      <c r="O400" s="334"/>
      <c r="P400" s="334"/>
      <c r="Q400" s="334"/>
      <c r="R400" s="334"/>
      <c r="S400" s="334"/>
    </row>
    <row r="401">
      <c r="A401" s="334"/>
      <c r="B401" s="334"/>
      <c r="C401" s="334"/>
      <c r="D401" s="334"/>
      <c r="E401" s="334"/>
      <c r="F401" s="334"/>
      <c r="G401" s="334"/>
      <c r="H401" s="334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</row>
    <row r="402">
      <c r="A402" s="334"/>
      <c r="B402" s="334"/>
      <c r="C402" s="334"/>
      <c r="D402" s="334"/>
      <c r="E402" s="334"/>
      <c r="F402" s="334"/>
      <c r="G402" s="334"/>
      <c r="H402" s="334"/>
      <c r="I402" s="334"/>
      <c r="J402" s="334"/>
      <c r="K402" s="334"/>
      <c r="L402" s="334"/>
      <c r="M402" s="334"/>
      <c r="N402" s="334"/>
      <c r="O402" s="334"/>
      <c r="P402" s="334"/>
      <c r="Q402" s="334"/>
      <c r="R402" s="334"/>
      <c r="S402" s="334"/>
    </row>
    <row r="403">
      <c r="A403" s="334"/>
      <c r="B403" s="334"/>
      <c r="C403" s="334"/>
      <c r="D403" s="334"/>
      <c r="E403" s="334"/>
      <c r="F403" s="334"/>
      <c r="G403" s="334"/>
      <c r="H403" s="334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</row>
    <row r="404">
      <c r="A404" s="334"/>
      <c r="B404" s="334"/>
      <c r="C404" s="334"/>
      <c r="D404" s="334"/>
      <c r="E404" s="334"/>
      <c r="F404" s="334"/>
      <c r="G404" s="334"/>
      <c r="H404" s="334"/>
      <c r="I404" s="334"/>
      <c r="J404" s="334"/>
      <c r="K404" s="334"/>
      <c r="L404" s="334"/>
      <c r="M404" s="334"/>
      <c r="N404" s="334"/>
      <c r="O404" s="334"/>
      <c r="P404" s="334"/>
      <c r="Q404" s="334"/>
      <c r="R404" s="334"/>
      <c r="S404" s="334"/>
    </row>
    <row r="405">
      <c r="A405" s="334"/>
      <c r="B405" s="334"/>
      <c r="C405" s="334"/>
      <c r="D405" s="334"/>
      <c r="E405" s="334"/>
      <c r="F405" s="334"/>
      <c r="G405" s="334"/>
      <c r="H405" s="334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</row>
    <row r="406">
      <c r="A406" s="334"/>
      <c r="B406" s="334"/>
      <c r="C406" s="334"/>
      <c r="D406" s="334"/>
      <c r="E406" s="334"/>
      <c r="F406" s="334"/>
      <c r="G406" s="334"/>
      <c r="H406" s="334"/>
      <c r="I406" s="334"/>
      <c r="J406" s="334"/>
      <c r="K406" s="334"/>
      <c r="L406" s="334"/>
      <c r="M406" s="334"/>
      <c r="N406" s="334"/>
      <c r="O406" s="334"/>
      <c r="P406" s="334"/>
      <c r="Q406" s="334"/>
      <c r="R406" s="334"/>
      <c r="S406" s="334"/>
    </row>
    <row r="407">
      <c r="A407" s="334"/>
      <c r="B407" s="334"/>
      <c r="C407" s="334"/>
      <c r="D407" s="334"/>
      <c r="E407" s="334"/>
      <c r="F407" s="334"/>
      <c r="G407" s="334"/>
      <c r="H407" s="334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</row>
    <row r="408">
      <c r="A408" s="334"/>
      <c r="B408" s="334"/>
      <c r="C408" s="334"/>
      <c r="D408" s="334"/>
      <c r="E408" s="334"/>
      <c r="F408" s="334"/>
      <c r="G408" s="334"/>
      <c r="H408" s="334"/>
      <c r="I408" s="334"/>
      <c r="J408" s="334"/>
      <c r="K408" s="334"/>
      <c r="L408" s="334"/>
      <c r="M408" s="334"/>
      <c r="N408" s="334"/>
      <c r="O408" s="334"/>
      <c r="P408" s="334"/>
      <c r="Q408" s="334"/>
      <c r="R408" s="334"/>
      <c r="S408" s="334"/>
    </row>
    <row r="409">
      <c r="A409" s="334"/>
      <c r="B409" s="334"/>
      <c r="C409" s="334"/>
      <c r="D409" s="334"/>
      <c r="E409" s="334"/>
      <c r="F409" s="334"/>
      <c r="G409" s="334"/>
      <c r="H409" s="334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</row>
    <row r="410">
      <c r="A410" s="334"/>
      <c r="B410" s="334"/>
      <c r="C410" s="334"/>
      <c r="D410" s="334"/>
      <c r="E410" s="334"/>
      <c r="F410" s="334"/>
      <c r="G410" s="334"/>
      <c r="H410" s="334"/>
      <c r="I410" s="334"/>
      <c r="J410" s="334"/>
      <c r="K410" s="334"/>
      <c r="L410" s="334"/>
      <c r="M410" s="334"/>
      <c r="N410" s="334"/>
      <c r="O410" s="334"/>
      <c r="P410" s="334"/>
      <c r="Q410" s="334"/>
      <c r="R410" s="334"/>
      <c r="S410" s="334"/>
    </row>
    <row r="411">
      <c r="A411" s="334"/>
      <c r="B411" s="334"/>
      <c r="C411" s="334"/>
      <c r="D411" s="334"/>
      <c r="E411" s="334"/>
      <c r="F411" s="334"/>
      <c r="G411" s="334"/>
      <c r="H411" s="334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</row>
    <row r="412">
      <c r="A412" s="334"/>
      <c r="B412" s="334"/>
      <c r="C412" s="334"/>
      <c r="D412" s="334"/>
      <c r="E412" s="334"/>
      <c r="F412" s="334"/>
      <c r="G412" s="334"/>
      <c r="H412" s="334"/>
      <c r="I412" s="334"/>
      <c r="J412" s="334"/>
      <c r="K412" s="334"/>
      <c r="L412" s="334"/>
      <c r="M412" s="334"/>
      <c r="N412" s="334"/>
      <c r="O412" s="334"/>
      <c r="P412" s="334"/>
      <c r="Q412" s="334"/>
      <c r="R412" s="334"/>
      <c r="S412" s="334"/>
    </row>
    <row r="413">
      <c r="A413" s="334"/>
      <c r="B413" s="334"/>
      <c r="C413" s="334"/>
      <c r="D413" s="334"/>
      <c r="E413" s="334"/>
      <c r="F413" s="334"/>
      <c r="G413" s="334"/>
      <c r="H413" s="334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</row>
    <row r="414">
      <c r="A414" s="334"/>
      <c r="B414" s="334"/>
      <c r="C414" s="334"/>
      <c r="D414" s="334"/>
      <c r="E414" s="334"/>
      <c r="F414" s="334"/>
      <c r="G414" s="334"/>
      <c r="H414" s="334"/>
      <c r="I414" s="334"/>
      <c r="J414" s="334"/>
      <c r="K414" s="334"/>
      <c r="L414" s="334"/>
      <c r="M414" s="334"/>
      <c r="N414" s="334"/>
      <c r="O414" s="334"/>
      <c r="P414" s="334"/>
      <c r="Q414" s="334"/>
      <c r="R414" s="334"/>
      <c r="S414" s="334"/>
    </row>
    <row r="415">
      <c r="A415" s="334"/>
      <c r="B415" s="334"/>
      <c r="C415" s="334"/>
      <c r="D415" s="334"/>
      <c r="E415" s="334"/>
      <c r="F415" s="334"/>
      <c r="G415" s="334"/>
      <c r="H415" s="334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</row>
    <row r="416">
      <c r="A416" s="334"/>
      <c r="B416" s="334"/>
      <c r="C416" s="334"/>
      <c r="D416" s="334"/>
      <c r="E416" s="334"/>
      <c r="F416" s="334"/>
      <c r="G416" s="334"/>
      <c r="H416" s="334"/>
      <c r="I416" s="334"/>
      <c r="J416" s="334"/>
      <c r="K416" s="334"/>
      <c r="L416" s="334"/>
      <c r="M416" s="334"/>
      <c r="N416" s="334"/>
      <c r="O416" s="334"/>
      <c r="P416" s="334"/>
      <c r="Q416" s="334"/>
      <c r="R416" s="334"/>
      <c r="S416" s="334"/>
    </row>
    <row r="417">
      <c r="A417" s="334"/>
      <c r="B417" s="334"/>
      <c r="C417" s="334"/>
      <c r="D417" s="334"/>
      <c r="E417" s="334"/>
      <c r="F417" s="334"/>
      <c r="G417" s="334"/>
      <c r="H417" s="334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</row>
    <row r="418">
      <c r="A418" s="334"/>
      <c r="B418" s="334"/>
      <c r="C418" s="334"/>
      <c r="D418" s="334"/>
      <c r="E418" s="334"/>
      <c r="F418" s="334"/>
      <c r="G418" s="334"/>
      <c r="H418" s="334"/>
      <c r="I418" s="334"/>
      <c r="J418" s="334"/>
      <c r="K418" s="334"/>
      <c r="L418" s="334"/>
      <c r="M418" s="334"/>
      <c r="N418" s="334"/>
      <c r="O418" s="334"/>
      <c r="P418" s="334"/>
      <c r="Q418" s="334"/>
      <c r="R418" s="334"/>
      <c r="S418" s="334"/>
    </row>
    <row r="419">
      <c r="A419" s="334"/>
      <c r="B419" s="334"/>
      <c r="C419" s="334"/>
      <c r="D419" s="334"/>
      <c r="E419" s="334"/>
      <c r="F419" s="334"/>
      <c r="G419" s="334"/>
      <c r="H419" s="334"/>
      <c r="I419" s="334"/>
      <c r="J419" s="334"/>
      <c r="K419" s="334"/>
      <c r="L419" s="334"/>
      <c r="M419" s="334"/>
      <c r="N419" s="334"/>
      <c r="O419" s="334"/>
      <c r="P419" s="334"/>
      <c r="Q419" s="334"/>
      <c r="R419" s="334"/>
      <c r="S419" s="334"/>
    </row>
    <row r="420">
      <c r="A420" s="334"/>
      <c r="B420" s="334"/>
      <c r="C420" s="334"/>
      <c r="D420" s="334"/>
      <c r="E420" s="334"/>
      <c r="F420" s="334"/>
      <c r="G420" s="334"/>
      <c r="H420" s="334"/>
      <c r="I420" s="334"/>
      <c r="J420" s="334"/>
      <c r="K420" s="334"/>
      <c r="L420" s="334"/>
      <c r="M420" s="334"/>
      <c r="N420" s="334"/>
      <c r="O420" s="334"/>
      <c r="P420" s="334"/>
      <c r="Q420" s="334"/>
      <c r="R420" s="334"/>
      <c r="S420" s="334"/>
    </row>
    <row r="421">
      <c r="A421" s="334"/>
      <c r="B421" s="334"/>
      <c r="C421" s="334"/>
      <c r="D421" s="334"/>
      <c r="E421" s="334"/>
      <c r="F421" s="334"/>
      <c r="G421" s="334"/>
      <c r="H421" s="334"/>
      <c r="I421" s="334"/>
      <c r="J421" s="334"/>
      <c r="K421" s="334"/>
      <c r="L421" s="334"/>
      <c r="M421" s="334"/>
      <c r="N421" s="334"/>
      <c r="O421" s="334"/>
      <c r="P421" s="334"/>
      <c r="Q421" s="334"/>
      <c r="R421" s="334"/>
      <c r="S421" s="334"/>
    </row>
    <row r="422">
      <c r="A422" s="334"/>
      <c r="B422" s="334"/>
      <c r="C422" s="334"/>
      <c r="D422" s="334"/>
      <c r="E422" s="334"/>
      <c r="F422" s="334"/>
      <c r="G422" s="334"/>
      <c r="H422" s="334"/>
      <c r="I422" s="334"/>
      <c r="J422" s="334"/>
      <c r="K422" s="334"/>
      <c r="L422" s="334"/>
      <c r="M422" s="334"/>
      <c r="N422" s="334"/>
      <c r="O422" s="334"/>
      <c r="P422" s="334"/>
      <c r="Q422" s="334"/>
      <c r="R422" s="334"/>
      <c r="S422" s="334"/>
    </row>
    <row r="423">
      <c r="A423" s="334"/>
      <c r="B423" s="334"/>
      <c r="C423" s="334"/>
      <c r="D423" s="334"/>
      <c r="E423" s="334"/>
      <c r="F423" s="334"/>
      <c r="G423" s="334"/>
      <c r="H423" s="334"/>
      <c r="I423" s="334"/>
      <c r="J423" s="334"/>
      <c r="K423" s="334"/>
      <c r="L423" s="334"/>
      <c r="M423" s="334"/>
      <c r="N423" s="334"/>
      <c r="O423" s="334"/>
      <c r="P423" s="334"/>
      <c r="Q423" s="334"/>
      <c r="R423" s="334"/>
      <c r="S423" s="334"/>
    </row>
    <row r="424">
      <c r="A424" s="334"/>
      <c r="B424" s="334"/>
      <c r="C424" s="334"/>
      <c r="D424" s="334"/>
      <c r="E424" s="334"/>
      <c r="F424" s="334"/>
      <c r="G424" s="334"/>
      <c r="H424" s="334"/>
      <c r="I424" s="334"/>
      <c r="J424" s="334"/>
      <c r="K424" s="334"/>
      <c r="L424" s="334"/>
      <c r="M424" s="334"/>
      <c r="N424" s="334"/>
      <c r="O424" s="334"/>
      <c r="P424" s="334"/>
      <c r="Q424" s="334"/>
      <c r="R424" s="334"/>
      <c r="S424" s="334"/>
    </row>
    <row r="425">
      <c r="A425" s="334"/>
      <c r="B425" s="334"/>
      <c r="C425" s="334"/>
      <c r="D425" s="334"/>
      <c r="E425" s="334"/>
      <c r="F425" s="334"/>
      <c r="G425" s="334"/>
      <c r="H425" s="334"/>
      <c r="I425" s="334"/>
      <c r="J425" s="334"/>
      <c r="K425" s="334"/>
      <c r="L425" s="334"/>
      <c r="M425" s="334"/>
      <c r="N425" s="334"/>
      <c r="O425" s="334"/>
      <c r="P425" s="334"/>
      <c r="Q425" s="334"/>
      <c r="R425" s="334"/>
      <c r="S425" s="334"/>
    </row>
    <row r="426">
      <c r="A426" s="334"/>
      <c r="B426" s="334"/>
      <c r="C426" s="334"/>
      <c r="D426" s="334"/>
      <c r="E426" s="334"/>
      <c r="F426" s="334"/>
      <c r="G426" s="334"/>
      <c r="H426" s="334"/>
      <c r="I426" s="334"/>
      <c r="J426" s="334"/>
      <c r="K426" s="334"/>
      <c r="L426" s="334"/>
      <c r="M426" s="334"/>
      <c r="N426" s="334"/>
      <c r="O426" s="334"/>
      <c r="P426" s="334"/>
      <c r="Q426" s="334"/>
      <c r="R426" s="334"/>
      <c r="S426" s="334"/>
    </row>
    <row r="427">
      <c r="A427" s="334"/>
      <c r="B427" s="334"/>
      <c r="C427" s="334"/>
      <c r="D427" s="334"/>
      <c r="E427" s="334"/>
      <c r="F427" s="334"/>
      <c r="G427" s="334"/>
      <c r="H427" s="334"/>
      <c r="I427" s="334"/>
      <c r="J427" s="334"/>
      <c r="K427" s="334"/>
      <c r="L427" s="334"/>
      <c r="M427" s="334"/>
      <c r="N427" s="334"/>
      <c r="O427" s="334"/>
      <c r="P427" s="334"/>
      <c r="Q427" s="334"/>
      <c r="R427" s="334"/>
      <c r="S427" s="334"/>
    </row>
    <row r="428">
      <c r="A428" s="334"/>
      <c r="B428" s="334"/>
      <c r="C428" s="334"/>
      <c r="D428" s="334"/>
      <c r="E428" s="334"/>
      <c r="F428" s="334"/>
      <c r="G428" s="334"/>
      <c r="H428" s="334"/>
      <c r="I428" s="334"/>
      <c r="J428" s="334"/>
      <c r="K428" s="334"/>
      <c r="L428" s="334"/>
      <c r="M428" s="334"/>
      <c r="N428" s="334"/>
      <c r="O428" s="334"/>
      <c r="P428" s="334"/>
      <c r="Q428" s="334"/>
      <c r="R428" s="334"/>
      <c r="S428" s="334"/>
    </row>
    <row r="429">
      <c r="A429" s="334"/>
      <c r="B429" s="334"/>
      <c r="C429" s="334"/>
      <c r="D429" s="334"/>
      <c r="E429" s="334"/>
      <c r="F429" s="334"/>
      <c r="G429" s="334"/>
      <c r="H429" s="334"/>
      <c r="I429" s="334"/>
      <c r="J429" s="334"/>
      <c r="K429" s="334"/>
      <c r="L429" s="334"/>
      <c r="M429" s="334"/>
      <c r="N429" s="334"/>
      <c r="O429" s="334"/>
      <c r="P429" s="334"/>
      <c r="Q429" s="334"/>
      <c r="R429" s="334"/>
      <c r="S429" s="334"/>
    </row>
    <row r="430">
      <c r="A430" s="334"/>
      <c r="B430" s="334"/>
      <c r="C430" s="334"/>
      <c r="D430" s="334"/>
      <c r="E430" s="334"/>
      <c r="F430" s="334"/>
      <c r="G430" s="334"/>
      <c r="H430" s="334"/>
      <c r="I430" s="334"/>
      <c r="J430" s="334"/>
      <c r="K430" s="334"/>
      <c r="L430" s="334"/>
      <c r="M430" s="334"/>
      <c r="N430" s="334"/>
      <c r="O430" s="334"/>
      <c r="P430" s="334"/>
      <c r="Q430" s="334"/>
      <c r="R430" s="334"/>
      <c r="S430" s="334"/>
    </row>
    <row r="431">
      <c r="A431" s="334"/>
      <c r="B431" s="334"/>
      <c r="C431" s="334"/>
      <c r="D431" s="334"/>
      <c r="E431" s="334"/>
      <c r="F431" s="334"/>
      <c r="G431" s="334"/>
      <c r="H431" s="334"/>
      <c r="I431" s="334"/>
      <c r="J431" s="334"/>
      <c r="K431" s="334"/>
      <c r="L431" s="334"/>
      <c r="M431" s="334"/>
      <c r="N431" s="334"/>
      <c r="O431" s="334"/>
      <c r="P431" s="334"/>
      <c r="Q431" s="334"/>
      <c r="R431" s="334"/>
      <c r="S431" s="334"/>
    </row>
    <row r="432">
      <c r="A432" s="334"/>
      <c r="B432" s="334"/>
      <c r="C432" s="334"/>
      <c r="D432" s="334"/>
      <c r="E432" s="334"/>
      <c r="F432" s="334"/>
      <c r="G432" s="334"/>
      <c r="H432" s="334"/>
      <c r="I432" s="334"/>
      <c r="J432" s="334"/>
      <c r="K432" s="334"/>
      <c r="L432" s="334"/>
      <c r="M432" s="334"/>
      <c r="N432" s="334"/>
      <c r="O432" s="334"/>
      <c r="P432" s="334"/>
      <c r="Q432" s="334"/>
      <c r="R432" s="334"/>
      <c r="S432" s="334"/>
    </row>
    <row r="433">
      <c r="A433" s="334"/>
      <c r="B433" s="334"/>
      <c r="C433" s="334"/>
      <c r="D433" s="334"/>
      <c r="E433" s="334"/>
      <c r="F433" s="334"/>
      <c r="G433" s="334"/>
      <c r="H433" s="334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334"/>
    </row>
    <row r="434">
      <c r="A434" s="334"/>
      <c r="B434" s="334"/>
      <c r="C434" s="334"/>
      <c r="D434" s="334"/>
      <c r="E434" s="334"/>
      <c r="F434" s="334"/>
      <c r="G434" s="334"/>
      <c r="H434" s="334"/>
      <c r="I434" s="334"/>
      <c r="J434" s="334"/>
      <c r="K434" s="334"/>
      <c r="L434" s="334"/>
      <c r="M434" s="334"/>
      <c r="N434" s="334"/>
      <c r="O434" s="334"/>
      <c r="P434" s="334"/>
      <c r="Q434" s="334"/>
      <c r="R434" s="334"/>
      <c r="S434" s="334"/>
    </row>
    <row r="435">
      <c r="A435" s="334"/>
      <c r="B435" s="334"/>
      <c r="C435" s="334"/>
      <c r="D435" s="334"/>
      <c r="E435" s="334"/>
      <c r="F435" s="334"/>
      <c r="G435" s="334"/>
      <c r="H435" s="334"/>
      <c r="I435" s="334"/>
      <c r="J435" s="334"/>
      <c r="K435" s="334"/>
      <c r="L435" s="334"/>
      <c r="M435" s="334"/>
      <c r="N435" s="334"/>
      <c r="O435" s="334"/>
      <c r="P435" s="334"/>
      <c r="Q435" s="334"/>
      <c r="R435" s="334"/>
      <c r="S435" s="334"/>
    </row>
    <row r="436">
      <c r="A436" s="334"/>
      <c r="B436" s="334"/>
      <c r="C436" s="334"/>
      <c r="D436" s="334"/>
      <c r="E436" s="334"/>
      <c r="F436" s="334"/>
      <c r="G436" s="334"/>
      <c r="H436" s="334"/>
      <c r="I436" s="334"/>
      <c r="J436" s="334"/>
      <c r="K436" s="334"/>
      <c r="L436" s="334"/>
      <c r="M436" s="334"/>
      <c r="N436" s="334"/>
      <c r="O436" s="334"/>
      <c r="P436" s="334"/>
      <c r="Q436" s="334"/>
      <c r="R436" s="334"/>
      <c r="S436" s="334"/>
    </row>
    <row r="437">
      <c r="A437" s="334"/>
      <c r="B437" s="334"/>
      <c r="C437" s="334"/>
      <c r="D437" s="334"/>
      <c r="E437" s="334"/>
      <c r="F437" s="334"/>
      <c r="G437" s="334"/>
      <c r="H437" s="334"/>
      <c r="I437" s="334"/>
      <c r="J437" s="334"/>
      <c r="K437" s="334"/>
      <c r="L437" s="334"/>
      <c r="M437" s="334"/>
      <c r="N437" s="334"/>
      <c r="O437" s="334"/>
      <c r="P437" s="334"/>
      <c r="Q437" s="334"/>
      <c r="R437" s="334"/>
      <c r="S437" s="334"/>
    </row>
    <row r="438">
      <c r="A438" s="334"/>
      <c r="B438" s="334"/>
      <c r="C438" s="334"/>
      <c r="D438" s="334"/>
      <c r="E438" s="334"/>
      <c r="F438" s="334"/>
      <c r="G438" s="334"/>
      <c r="H438" s="334"/>
      <c r="I438" s="334"/>
      <c r="J438" s="334"/>
      <c r="K438" s="334"/>
      <c r="L438" s="334"/>
      <c r="M438" s="334"/>
      <c r="N438" s="334"/>
      <c r="O438" s="334"/>
      <c r="P438" s="334"/>
      <c r="Q438" s="334"/>
      <c r="R438" s="334"/>
      <c r="S438" s="334"/>
    </row>
    <row r="439">
      <c r="A439" s="334"/>
      <c r="B439" s="334"/>
      <c r="C439" s="334"/>
      <c r="D439" s="334"/>
      <c r="E439" s="334"/>
      <c r="F439" s="334"/>
      <c r="G439" s="334"/>
      <c r="H439" s="334"/>
      <c r="I439" s="334"/>
      <c r="J439" s="334"/>
      <c r="K439" s="334"/>
      <c r="L439" s="334"/>
      <c r="M439" s="334"/>
      <c r="N439" s="334"/>
      <c r="O439" s="334"/>
      <c r="P439" s="334"/>
      <c r="Q439" s="334"/>
      <c r="R439" s="334"/>
      <c r="S439" s="334"/>
    </row>
    <row r="440">
      <c r="A440" s="334"/>
      <c r="B440" s="334"/>
      <c r="C440" s="334"/>
      <c r="D440" s="334"/>
      <c r="E440" s="334"/>
      <c r="F440" s="334"/>
      <c r="G440" s="334"/>
      <c r="H440" s="334"/>
      <c r="I440" s="334"/>
      <c r="J440" s="334"/>
      <c r="K440" s="334"/>
      <c r="L440" s="334"/>
      <c r="M440" s="334"/>
      <c r="N440" s="334"/>
      <c r="O440" s="334"/>
      <c r="P440" s="334"/>
      <c r="Q440" s="334"/>
      <c r="R440" s="334"/>
      <c r="S440" s="334"/>
    </row>
    <row r="441">
      <c r="A441" s="334"/>
      <c r="B441" s="334"/>
      <c r="C441" s="334"/>
      <c r="D441" s="334"/>
      <c r="E441" s="334"/>
      <c r="F441" s="334"/>
      <c r="G441" s="334"/>
      <c r="H441" s="334"/>
      <c r="I441" s="334"/>
      <c r="J441" s="334"/>
      <c r="K441" s="334"/>
      <c r="L441" s="334"/>
      <c r="M441" s="334"/>
      <c r="N441" s="334"/>
      <c r="O441" s="334"/>
      <c r="P441" s="334"/>
      <c r="Q441" s="334"/>
      <c r="R441" s="334"/>
      <c r="S441" s="334"/>
    </row>
    <row r="442">
      <c r="A442" s="334"/>
      <c r="B442" s="334"/>
      <c r="C442" s="334"/>
      <c r="D442" s="334"/>
      <c r="E442" s="334"/>
      <c r="F442" s="334"/>
      <c r="G442" s="334"/>
      <c r="H442" s="334"/>
      <c r="I442" s="334"/>
      <c r="J442" s="334"/>
      <c r="K442" s="334"/>
      <c r="L442" s="334"/>
      <c r="M442" s="334"/>
      <c r="N442" s="334"/>
      <c r="O442" s="334"/>
      <c r="P442" s="334"/>
      <c r="Q442" s="334"/>
      <c r="R442" s="334"/>
      <c r="S442" s="334"/>
    </row>
    <row r="443">
      <c r="A443" s="334"/>
      <c r="B443" s="334"/>
      <c r="C443" s="334"/>
      <c r="D443" s="334"/>
      <c r="E443" s="334"/>
      <c r="F443" s="334"/>
      <c r="G443" s="334"/>
      <c r="H443" s="334"/>
      <c r="I443" s="334"/>
      <c r="J443" s="334"/>
      <c r="K443" s="334"/>
      <c r="L443" s="334"/>
      <c r="M443" s="334"/>
      <c r="N443" s="334"/>
      <c r="O443" s="334"/>
      <c r="P443" s="334"/>
      <c r="Q443" s="334"/>
      <c r="R443" s="334"/>
      <c r="S443" s="334"/>
    </row>
    <row r="444">
      <c r="A444" s="334"/>
      <c r="B444" s="334"/>
      <c r="C444" s="334"/>
      <c r="D444" s="334"/>
      <c r="E444" s="334"/>
      <c r="F444" s="334"/>
      <c r="G444" s="334"/>
      <c r="H444" s="334"/>
      <c r="I444" s="334"/>
      <c r="J444" s="334"/>
      <c r="K444" s="334"/>
      <c r="L444" s="334"/>
      <c r="M444" s="334"/>
      <c r="N444" s="334"/>
      <c r="O444" s="334"/>
      <c r="P444" s="334"/>
      <c r="Q444" s="334"/>
      <c r="R444" s="334"/>
      <c r="S444" s="334"/>
    </row>
    <row r="445">
      <c r="A445" s="334"/>
      <c r="B445" s="334"/>
      <c r="C445" s="334"/>
      <c r="D445" s="334"/>
      <c r="E445" s="334"/>
      <c r="F445" s="334"/>
      <c r="G445" s="334"/>
      <c r="H445" s="334"/>
      <c r="I445" s="334"/>
      <c r="J445" s="334"/>
      <c r="K445" s="334"/>
      <c r="L445" s="334"/>
      <c r="M445" s="334"/>
      <c r="N445" s="334"/>
      <c r="O445" s="334"/>
      <c r="P445" s="334"/>
      <c r="Q445" s="334"/>
      <c r="R445" s="334"/>
      <c r="S445" s="334"/>
    </row>
    <row r="446">
      <c r="A446" s="334"/>
      <c r="B446" s="334"/>
      <c r="C446" s="334"/>
      <c r="D446" s="334"/>
      <c r="E446" s="334"/>
      <c r="F446" s="334"/>
      <c r="G446" s="334"/>
      <c r="H446" s="334"/>
      <c r="I446" s="334"/>
      <c r="J446" s="334"/>
      <c r="K446" s="334"/>
      <c r="L446" s="334"/>
      <c r="M446" s="334"/>
      <c r="N446" s="334"/>
      <c r="O446" s="334"/>
      <c r="P446" s="334"/>
      <c r="Q446" s="334"/>
      <c r="R446" s="334"/>
      <c r="S446" s="334"/>
    </row>
    <row r="447">
      <c r="A447" s="334"/>
      <c r="B447" s="334"/>
      <c r="C447" s="334"/>
      <c r="D447" s="334"/>
      <c r="E447" s="334"/>
      <c r="F447" s="334"/>
      <c r="G447" s="334"/>
      <c r="H447" s="334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</row>
    <row r="448">
      <c r="A448" s="334"/>
      <c r="B448" s="334"/>
      <c r="C448" s="334"/>
      <c r="D448" s="334"/>
      <c r="E448" s="334"/>
      <c r="F448" s="334"/>
      <c r="G448" s="334"/>
      <c r="H448" s="334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</row>
    <row r="449">
      <c r="A449" s="334"/>
      <c r="B449" s="334"/>
      <c r="C449" s="334"/>
      <c r="D449" s="334"/>
      <c r="E449" s="334"/>
      <c r="F449" s="334"/>
      <c r="G449" s="334"/>
      <c r="H449" s="334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</row>
    <row r="450">
      <c r="A450" s="334"/>
      <c r="B450" s="334"/>
      <c r="C450" s="334"/>
      <c r="D450" s="334"/>
      <c r="E450" s="334"/>
      <c r="F450" s="334"/>
      <c r="G450" s="334"/>
      <c r="H450" s="334"/>
      <c r="I450" s="334"/>
      <c r="J450" s="334"/>
      <c r="K450" s="334"/>
      <c r="L450" s="334"/>
      <c r="M450" s="334"/>
      <c r="N450" s="334"/>
      <c r="O450" s="334"/>
      <c r="P450" s="334"/>
      <c r="Q450" s="334"/>
      <c r="R450" s="334"/>
      <c r="S450" s="334"/>
    </row>
    <row r="451">
      <c r="A451" s="334"/>
      <c r="B451" s="334"/>
      <c r="C451" s="334"/>
      <c r="D451" s="334"/>
      <c r="E451" s="334"/>
      <c r="F451" s="334"/>
      <c r="G451" s="334"/>
      <c r="H451" s="334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</row>
    <row r="452">
      <c r="A452" s="334"/>
      <c r="B452" s="334"/>
      <c r="C452" s="334"/>
      <c r="D452" s="334"/>
      <c r="E452" s="334"/>
      <c r="F452" s="334"/>
      <c r="G452" s="334"/>
      <c r="H452" s="334"/>
      <c r="I452" s="334"/>
      <c r="J452" s="334"/>
      <c r="K452" s="334"/>
      <c r="L452" s="334"/>
      <c r="M452" s="334"/>
      <c r="N452" s="334"/>
      <c r="O452" s="334"/>
      <c r="P452" s="334"/>
      <c r="Q452" s="334"/>
      <c r="R452" s="334"/>
      <c r="S452" s="334"/>
    </row>
    <row r="453">
      <c r="A453" s="334"/>
      <c r="B453" s="334"/>
      <c r="C453" s="334"/>
      <c r="D453" s="334"/>
      <c r="E453" s="334"/>
      <c r="F453" s="334"/>
      <c r="G453" s="334"/>
      <c r="H453" s="334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</row>
    <row r="454">
      <c r="A454" s="334"/>
      <c r="B454" s="334"/>
      <c r="C454" s="334"/>
      <c r="D454" s="334"/>
      <c r="E454" s="334"/>
      <c r="F454" s="334"/>
      <c r="G454" s="334"/>
      <c r="H454" s="334"/>
      <c r="I454" s="334"/>
      <c r="J454" s="334"/>
      <c r="K454" s="334"/>
      <c r="L454" s="334"/>
      <c r="M454" s="334"/>
      <c r="N454" s="334"/>
      <c r="O454" s="334"/>
      <c r="P454" s="334"/>
      <c r="Q454" s="334"/>
      <c r="R454" s="334"/>
      <c r="S454" s="334"/>
    </row>
    <row r="455">
      <c r="A455" s="334"/>
      <c r="B455" s="334"/>
      <c r="C455" s="334"/>
      <c r="D455" s="334"/>
      <c r="E455" s="334"/>
      <c r="F455" s="334"/>
      <c r="G455" s="334"/>
      <c r="H455" s="334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</row>
    <row r="456">
      <c r="A456" s="334"/>
      <c r="B456" s="334"/>
      <c r="C456" s="334"/>
      <c r="D456" s="334"/>
      <c r="E456" s="334"/>
      <c r="F456" s="334"/>
      <c r="G456" s="334"/>
      <c r="H456" s="334"/>
      <c r="I456" s="334"/>
      <c r="J456" s="334"/>
      <c r="K456" s="334"/>
      <c r="L456" s="334"/>
      <c r="M456" s="334"/>
      <c r="N456" s="334"/>
      <c r="O456" s="334"/>
      <c r="P456" s="334"/>
      <c r="Q456" s="334"/>
      <c r="R456" s="334"/>
      <c r="S456" s="334"/>
    </row>
    <row r="457">
      <c r="A457" s="334"/>
      <c r="B457" s="334"/>
      <c r="C457" s="334"/>
      <c r="D457" s="334"/>
      <c r="E457" s="334"/>
      <c r="F457" s="334"/>
      <c r="G457" s="334"/>
      <c r="H457" s="334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</row>
    <row r="458">
      <c r="A458" s="334"/>
      <c r="B458" s="334"/>
      <c r="C458" s="334"/>
      <c r="D458" s="334"/>
      <c r="E458" s="334"/>
      <c r="F458" s="334"/>
      <c r="G458" s="334"/>
      <c r="H458" s="334"/>
      <c r="I458" s="334"/>
      <c r="J458" s="334"/>
      <c r="K458" s="334"/>
      <c r="L458" s="334"/>
      <c r="M458" s="334"/>
      <c r="N458" s="334"/>
      <c r="O458" s="334"/>
      <c r="P458" s="334"/>
      <c r="Q458" s="334"/>
      <c r="R458" s="334"/>
      <c r="S458" s="334"/>
    </row>
    <row r="459">
      <c r="A459" s="334"/>
      <c r="B459" s="334"/>
      <c r="C459" s="334"/>
      <c r="D459" s="334"/>
      <c r="E459" s="334"/>
      <c r="F459" s="334"/>
      <c r="G459" s="334"/>
      <c r="H459" s="334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</row>
    <row r="460">
      <c r="A460" s="334"/>
      <c r="B460" s="334"/>
      <c r="C460" s="334"/>
      <c r="D460" s="334"/>
      <c r="E460" s="334"/>
      <c r="F460" s="334"/>
      <c r="G460" s="334"/>
      <c r="H460" s="334"/>
      <c r="I460" s="334"/>
      <c r="J460" s="334"/>
      <c r="K460" s="334"/>
      <c r="L460" s="334"/>
      <c r="M460" s="334"/>
      <c r="N460" s="334"/>
      <c r="O460" s="334"/>
      <c r="P460" s="334"/>
      <c r="Q460" s="334"/>
      <c r="R460" s="334"/>
      <c r="S460" s="334"/>
    </row>
    <row r="461">
      <c r="A461" s="334"/>
      <c r="B461" s="334"/>
      <c r="C461" s="334"/>
      <c r="D461" s="334"/>
      <c r="E461" s="334"/>
      <c r="F461" s="334"/>
      <c r="G461" s="334"/>
      <c r="H461" s="334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</row>
    <row r="462">
      <c r="A462" s="334"/>
      <c r="B462" s="334"/>
      <c r="C462" s="334"/>
      <c r="D462" s="334"/>
      <c r="E462" s="334"/>
      <c r="F462" s="334"/>
      <c r="G462" s="334"/>
      <c r="H462" s="334"/>
      <c r="I462" s="334"/>
      <c r="J462" s="334"/>
      <c r="K462" s="334"/>
      <c r="L462" s="334"/>
      <c r="M462" s="334"/>
      <c r="N462" s="334"/>
      <c r="O462" s="334"/>
      <c r="P462" s="334"/>
      <c r="Q462" s="334"/>
      <c r="R462" s="334"/>
      <c r="S462" s="334"/>
    </row>
    <row r="463">
      <c r="A463" s="334"/>
      <c r="B463" s="334"/>
      <c r="C463" s="334"/>
      <c r="D463" s="334"/>
      <c r="E463" s="334"/>
      <c r="F463" s="334"/>
      <c r="G463" s="334"/>
      <c r="H463" s="334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</row>
    <row r="464">
      <c r="A464" s="334"/>
      <c r="B464" s="334"/>
      <c r="C464" s="334"/>
      <c r="D464" s="334"/>
      <c r="E464" s="334"/>
      <c r="F464" s="334"/>
      <c r="G464" s="334"/>
      <c r="H464" s="334"/>
      <c r="I464" s="334"/>
      <c r="J464" s="334"/>
      <c r="K464" s="334"/>
      <c r="L464" s="334"/>
      <c r="M464" s="334"/>
      <c r="N464" s="334"/>
      <c r="O464" s="334"/>
      <c r="P464" s="334"/>
      <c r="Q464" s="334"/>
      <c r="R464" s="334"/>
      <c r="S464" s="334"/>
    </row>
    <row r="465">
      <c r="A465" s="334"/>
      <c r="B465" s="334"/>
      <c r="C465" s="334"/>
      <c r="D465" s="334"/>
      <c r="E465" s="334"/>
      <c r="F465" s="334"/>
      <c r="G465" s="334"/>
      <c r="H465" s="334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</row>
    <row r="466">
      <c r="A466" s="334"/>
      <c r="B466" s="334"/>
      <c r="C466" s="334"/>
      <c r="D466" s="334"/>
      <c r="E466" s="334"/>
      <c r="F466" s="334"/>
      <c r="G466" s="334"/>
      <c r="H466" s="334"/>
      <c r="I466" s="334"/>
      <c r="J466" s="334"/>
      <c r="K466" s="334"/>
      <c r="L466" s="334"/>
      <c r="M466" s="334"/>
      <c r="N466" s="334"/>
      <c r="O466" s="334"/>
      <c r="P466" s="334"/>
      <c r="Q466" s="334"/>
      <c r="R466" s="334"/>
      <c r="S466" s="334"/>
    </row>
    <row r="467">
      <c r="A467" s="334"/>
      <c r="B467" s="334"/>
      <c r="C467" s="334"/>
      <c r="D467" s="334"/>
      <c r="E467" s="334"/>
      <c r="F467" s="334"/>
      <c r="G467" s="334"/>
      <c r="H467" s="334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</row>
    <row r="468">
      <c r="A468" s="334"/>
      <c r="B468" s="334"/>
      <c r="C468" s="334"/>
      <c r="D468" s="334"/>
      <c r="E468" s="334"/>
      <c r="F468" s="334"/>
      <c r="G468" s="334"/>
      <c r="H468" s="334"/>
      <c r="I468" s="334"/>
      <c r="J468" s="334"/>
      <c r="K468" s="334"/>
      <c r="L468" s="334"/>
      <c r="M468" s="334"/>
      <c r="N468" s="334"/>
      <c r="O468" s="334"/>
      <c r="P468" s="334"/>
      <c r="Q468" s="334"/>
      <c r="R468" s="334"/>
      <c r="S468" s="334"/>
    </row>
    <row r="469">
      <c r="A469" s="334"/>
      <c r="B469" s="334"/>
      <c r="C469" s="334"/>
      <c r="D469" s="334"/>
      <c r="E469" s="334"/>
      <c r="F469" s="334"/>
      <c r="G469" s="334"/>
      <c r="H469" s="334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</row>
    <row r="470">
      <c r="A470" s="334"/>
      <c r="B470" s="334"/>
      <c r="C470" s="334"/>
      <c r="D470" s="334"/>
      <c r="E470" s="334"/>
      <c r="F470" s="334"/>
      <c r="G470" s="334"/>
      <c r="H470" s="334"/>
      <c r="I470" s="334"/>
      <c r="J470" s="334"/>
      <c r="K470" s="334"/>
      <c r="L470" s="334"/>
      <c r="M470" s="334"/>
      <c r="N470" s="334"/>
      <c r="O470" s="334"/>
      <c r="P470" s="334"/>
      <c r="Q470" s="334"/>
      <c r="R470" s="334"/>
      <c r="S470" s="334"/>
    </row>
    <row r="471">
      <c r="A471" s="334"/>
      <c r="B471" s="334"/>
      <c r="C471" s="334"/>
      <c r="D471" s="334"/>
      <c r="E471" s="334"/>
      <c r="F471" s="334"/>
      <c r="G471" s="334"/>
      <c r="H471" s="334"/>
      <c r="I471" s="334"/>
      <c r="J471" s="334"/>
      <c r="K471" s="334"/>
      <c r="L471" s="334"/>
      <c r="M471" s="334"/>
      <c r="N471" s="334"/>
      <c r="O471" s="334"/>
      <c r="P471" s="334"/>
      <c r="Q471" s="334"/>
      <c r="R471" s="334"/>
      <c r="S471" s="334"/>
    </row>
    <row r="472">
      <c r="A472" s="334"/>
      <c r="B472" s="334"/>
      <c r="C472" s="334"/>
      <c r="D472" s="334"/>
      <c r="E472" s="334"/>
      <c r="F472" s="334"/>
      <c r="G472" s="334"/>
      <c r="H472" s="334"/>
      <c r="I472" s="334"/>
      <c r="J472" s="334"/>
      <c r="K472" s="334"/>
      <c r="L472" s="334"/>
      <c r="M472" s="334"/>
      <c r="N472" s="334"/>
      <c r="O472" s="334"/>
      <c r="P472" s="334"/>
      <c r="Q472" s="334"/>
      <c r="R472" s="334"/>
      <c r="S472" s="334"/>
    </row>
    <row r="473">
      <c r="A473" s="334"/>
      <c r="B473" s="334"/>
      <c r="C473" s="334"/>
      <c r="D473" s="334"/>
      <c r="E473" s="334"/>
      <c r="F473" s="334"/>
      <c r="G473" s="334"/>
      <c r="H473" s="334"/>
      <c r="I473" s="334"/>
      <c r="J473" s="334"/>
      <c r="K473" s="334"/>
      <c r="L473" s="334"/>
      <c r="M473" s="334"/>
      <c r="N473" s="334"/>
      <c r="O473" s="334"/>
      <c r="P473" s="334"/>
      <c r="Q473" s="334"/>
      <c r="R473" s="334"/>
      <c r="S473" s="334"/>
    </row>
    <row r="474">
      <c r="A474" s="334"/>
      <c r="B474" s="334"/>
      <c r="C474" s="334"/>
      <c r="D474" s="334"/>
      <c r="E474" s="334"/>
      <c r="F474" s="334"/>
      <c r="G474" s="334"/>
      <c r="H474" s="334"/>
      <c r="I474" s="334"/>
      <c r="J474" s="334"/>
      <c r="K474" s="334"/>
      <c r="L474" s="334"/>
      <c r="M474" s="334"/>
      <c r="N474" s="334"/>
      <c r="O474" s="334"/>
      <c r="P474" s="334"/>
      <c r="Q474" s="334"/>
      <c r="R474" s="334"/>
      <c r="S474" s="334"/>
    </row>
    <row r="475">
      <c r="A475" s="334"/>
      <c r="B475" s="334"/>
      <c r="C475" s="334"/>
      <c r="D475" s="334"/>
      <c r="E475" s="334"/>
      <c r="F475" s="334"/>
      <c r="G475" s="334"/>
      <c r="H475" s="334"/>
      <c r="I475" s="334"/>
      <c r="J475" s="334"/>
      <c r="K475" s="334"/>
      <c r="L475" s="334"/>
      <c r="M475" s="334"/>
      <c r="N475" s="334"/>
      <c r="O475" s="334"/>
      <c r="P475" s="334"/>
      <c r="Q475" s="334"/>
      <c r="R475" s="334"/>
      <c r="S475" s="334"/>
    </row>
    <row r="476">
      <c r="A476" s="334"/>
      <c r="B476" s="334"/>
      <c r="C476" s="334"/>
      <c r="D476" s="334"/>
      <c r="E476" s="334"/>
      <c r="F476" s="334"/>
      <c r="G476" s="334"/>
      <c r="H476" s="334"/>
      <c r="I476" s="334"/>
      <c r="J476" s="334"/>
      <c r="K476" s="334"/>
      <c r="L476" s="334"/>
      <c r="M476" s="334"/>
      <c r="N476" s="334"/>
      <c r="O476" s="334"/>
      <c r="P476" s="334"/>
      <c r="Q476" s="334"/>
      <c r="R476" s="334"/>
      <c r="S476" s="334"/>
    </row>
    <row r="477">
      <c r="A477" s="334"/>
      <c r="B477" s="334"/>
      <c r="C477" s="334"/>
      <c r="D477" s="334"/>
      <c r="E477" s="334"/>
      <c r="F477" s="334"/>
      <c r="G477" s="334"/>
      <c r="H477" s="334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</row>
    <row r="478">
      <c r="A478" s="334"/>
      <c r="B478" s="334"/>
      <c r="C478" s="334"/>
      <c r="D478" s="334"/>
      <c r="E478" s="334"/>
      <c r="F478" s="334"/>
      <c r="G478" s="334"/>
      <c r="H478" s="334"/>
      <c r="I478" s="334"/>
      <c r="J478" s="334"/>
      <c r="K478" s="334"/>
      <c r="L478" s="334"/>
      <c r="M478" s="334"/>
      <c r="N478" s="334"/>
      <c r="O478" s="334"/>
      <c r="P478" s="334"/>
      <c r="Q478" s="334"/>
      <c r="R478" s="334"/>
      <c r="S478" s="334"/>
    </row>
    <row r="479">
      <c r="A479" s="334"/>
      <c r="B479" s="334"/>
      <c r="C479" s="334"/>
      <c r="D479" s="334"/>
      <c r="E479" s="334"/>
      <c r="F479" s="334"/>
      <c r="G479" s="334"/>
      <c r="H479" s="334"/>
      <c r="I479" s="334"/>
      <c r="J479" s="334"/>
      <c r="K479" s="334"/>
      <c r="L479" s="334"/>
      <c r="M479" s="334"/>
      <c r="N479" s="334"/>
      <c r="O479" s="334"/>
      <c r="P479" s="334"/>
      <c r="Q479" s="334"/>
      <c r="R479" s="334"/>
      <c r="S479" s="334"/>
    </row>
    <row r="480">
      <c r="A480" s="334"/>
      <c r="B480" s="334"/>
      <c r="C480" s="334"/>
      <c r="D480" s="334"/>
      <c r="E480" s="334"/>
      <c r="F480" s="334"/>
      <c r="G480" s="334"/>
      <c r="H480" s="334"/>
      <c r="I480" s="334"/>
      <c r="J480" s="334"/>
      <c r="K480" s="334"/>
      <c r="L480" s="334"/>
      <c r="M480" s="334"/>
      <c r="N480" s="334"/>
      <c r="O480" s="334"/>
      <c r="P480" s="334"/>
      <c r="Q480" s="334"/>
      <c r="R480" s="334"/>
      <c r="S480" s="334"/>
    </row>
    <row r="481">
      <c r="A481" s="334"/>
      <c r="B481" s="334"/>
      <c r="C481" s="334"/>
      <c r="D481" s="334"/>
      <c r="E481" s="334"/>
      <c r="F481" s="334"/>
      <c r="G481" s="334"/>
      <c r="H481" s="334"/>
      <c r="I481" s="334"/>
      <c r="J481" s="334"/>
      <c r="K481" s="334"/>
      <c r="L481" s="334"/>
      <c r="M481" s="334"/>
      <c r="N481" s="334"/>
      <c r="O481" s="334"/>
      <c r="P481" s="334"/>
      <c r="Q481" s="334"/>
      <c r="R481" s="334"/>
      <c r="S481" s="334"/>
    </row>
    <row r="482">
      <c r="A482" s="334"/>
      <c r="B482" s="334"/>
      <c r="C482" s="334"/>
      <c r="D482" s="334"/>
      <c r="E482" s="334"/>
      <c r="F482" s="334"/>
      <c r="G482" s="334"/>
      <c r="H482" s="334"/>
      <c r="I482" s="334"/>
      <c r="J482" s="334"/>
      <c r="K482" s="334"/>
      <c r="L482" s="334"/>
      <c r="M482" s="334"/>
      <c r="N482" s="334"/>
      <c r="O482" s="334"/>
      <c r="P482" s="334"/>
      <c r="Q482" s="334"/>
      <c r="R482" s="334"/>
      <c r="S482" s="334"/>
    </row>
    <row r="483">
      <c r="A483" s="334"/>
      <c r="B483" s="334"/>
      <c r="C483" s="334"/>
      <c r="D483" s="334"/>
      <c r="E483" s="334"/>
      <c r="F483" s="334"/>
      <c r="G483" s="334"/>
      <c r="H483" s="334"/>
      <c r="I483" s="334"/>
      <c r="J483" s="334"/>
      <c r="K483" s="334"/>
      <c r="L483" s="334"/>
      <c r="M483" s="334"/>
      <c r="N483" s="334"/>
      <c r="O483" s="334"/>
      <c r="P483" s="334"/>
      <c r="Q483" s="334"/>
      <c r="R483" s="334"/>
      <c r="S483" s="334"/>
    </row>
    <row r="484">
      <c r="A484" s="334"/>
      <c r="B484" s="334"/>
      <c r="C484" s="334"/>
      <c r="D484" s="334"/>
      <c r="E484" s="334"/>
      <c r="F484" s="334"/>
      <c r="G484" s="334"/>
      <c r="H484" s="334"/>
      <c r="I484" s="334"/>
      <c r="J484" s="334"/>
      <c r="K484" s="334"/>
      <c r="L484" s="334"/>
      <c r="M484" s="334"/>
      <c r="N484" s="334"/>
      <c r="O484" s="334"/>
      <c r="P484" s="334"/>
      <c r="Q484" s="334"/>
      <c r="R484" s="334"/>
      <c r="S484" s="334"/>
    </row>
    <row r="485">
      <c r="A485" s="334"/>
      <c r="B485" s="334"/>
      <c r="C485" s="334"/>
      <c r="D485" s="334"/>
      <c r="E485" s="334"/>
      <c r="F485" s="334"/>
      <c r="G485" s="334"/>
      <c r="H485" s="334"/>
      <c r="I485" s="334"/>
      <c r="J485" s="334"/>
      <c r="K485" s="334"/>
      <c r="L485" s="334"/>
      <c r="M485" s="334"/>
      <c r="N485" s="334"/>
      <c r="O485" s="334"/>
      <c r="P485" s="334"/>
      <c r="Q485" s="334"/>
      <c r="R485" s="334"/>
      <c r="S485" s="334"/>
    </row>
    <row r="486">
      <c r="A486" s="334"/>
      <c r="B486" s="334"/>
      <c r="C486" s="334"/>
      <c r="D486" s="334"/>
      <c r="E486" s="334"/>
      <c r="F486" s="334"/>
      <c r="G486" s="334"/>
      <c r="H486" s="334"/>
      <c r="I486" s="334"/>
      <c r="J486" s="334"/>
      <c r="K486" s="334"/>
      <c r="L486" s="334"/>
      <c r="M486" s="334"/>
      <c r="N486" s="334"/>
      <c r="O486" s="334"/>
      <c r="P486" s="334"/>
      <c r="Q486" s="334"/>
      <c r="R486" s="334"/>
      <c r="S486" s="334"/>
    </row>
    <row r="487">
      <c r="A487" s="334"/>
      <c r="B487" s="334"/>
      <c r="C487" s="334"/>
      <c r="D487" s="334"/>
      <c r="E487" s="334"/>
      <c r="F487" s="334"/>
      <c r="G487" s="334"/>
      <c r="H487" s="334"/>
      <c r="I487" s="334"/>
      <c r="J487" s="334"/>
      <c r="K487" s="334"/>
      <c r="L487" s="334"/>
      <c r="M487" s="334"/>
      <c r="N487" s="334"/>
      <c r="O487" s="334"/>
      <c r="P487" s="334"/>
      <c r="Q487" s="334"/>
      <c r="R487" s="334"/>
      <c r="S487" s="334"/>
    </row>
    <row r="488">
      <c r="A488" s="334"/>
      <c r="B488" s="334"/>
      <c r="C488" s="334"/>
      <c r="D488" s="334"/>
      <c r="E488" s="334"/>
      <c r="F488" s="334"/>
      <c r="G488" s="334"/>
      <c r="H488" s="334"/>
      <c r="I488" s="334"/>
      <c r="J488" s="334"/>
      <c r="K488" s="334"/>
      <c r="L488" s="334"/>
      <c r="M488" s="334"/>
      <c r="N488" s="334"/>
      <c r="O488" s="334"/>
      <c r="P488" s="334"/>
      <c r="Q488" s="334"/>
      <c r="R488" s="334"/>
      <c r="S488" s="334"/>
    </row>
    <row r="489">
      <c r="A489" s="334"/>
      <c r="B489" s="334"/>
      <c r="C489" s="334"/>
      <c r="D489" s="334"/>
      <c r="E489" s="334"/>
      <c r="F489" s="334"/>
      <c r="G489" s="334"/>
      <c r="H489" s="334"/>
      <c r="I489" s="334"/>
      <c r="J489" s="334"/>
      <c r="K489" s="334"/>
      <c r="L489" s="334"/>
      <c r="M489" s="334"/>
      <c r="N489" s="334"/>
      <c r="O489" s="334"/>
      <c r="P489" s="334"/>
      <c r="Q489" s="334"/>
      <c r="R489" s="334"/>
      <c r="S489" s="334"/>
    </row>
    <row r="490">
      <c r="A490" s="334"/>
      <c r="B490" s="334"/>
      <c r="C490" s="334"/>
      <c r="D490" s="334"/>
      <c r="E490" s="334"/>
      <c r="F490" s="334"/>
      <c r="G490" s="334"/>
      <c r="H490" s="334"/>
      <c r="I490" s="334"/>
      <c r="J490" s="334"/>
      <c r="K490" s="334"/>
      <c r="L490" s="334"/>
      <c r="M490" s="334"/>
      <c r="N490" s="334"/>
      <c r="O490" s="334"/>
      <c r="P490" s="334"/>
      <c r="Q490" s="334"/>
      <c r="R490" s="334"/>
      <c r="S490" s="334"/>
    </row>
    <row r="491">
      <c r="A491" s="334"/>
      <c r="B491" s="334"/>
      <c r="C491" s="334"/>
      <c r="D491" s="334"/>
      <c r="E491" s="334"/>
      <c r="F491" s="334"/>
      <c r="G491" s="334"/>
      <c r="H491" s="334"/>
      <c r="I491" s="334"/>
      <c r="J491" s="334"/>
      <c r="K491" s="334"/>
      <c r="L491" s="334"/>
      <c r="M491" s="334"/>
      <c r="N491" s="334"/>
      <c r="O491" s="334"/>
      <c r="P491" s="334"/>
      <c r="Q491" s="334"/>
      <c r="R491" s="334"/>
      <c r="S491" s="334"/>
    </row>
    <row r="492">
      <c r="A492" s="334"/>
      <c r="B492" s="334"/>
      <c r="C492" s="334"/>
      <c r="D492" s="334"/>
      <c r="E492" s="334"/>
      <c r="F492" s="334"/>
      <c r="G492" s="334"/>
      <c r="H492" s="334"/>
      <c r="I492" s="334"/>
      <c r="J492" s="334"/>
      <c r="K492" s="334"/>
      <c r="L492" s="334"/>
      <c r="M492" s="334"/>
      <c r="N492" s="334"/>
      <c r="O492" s="334"/>
      <c r="P492" s="334"/>
      <c r="Q492" s="334"/>
      <c r="R492" s="334"/>
      <c r="S492" s="334"/>
    </row>
    <row r="493">
      <c r="A493" s="334"/>
      <c r="B493" s="334"/>
      <c r="C493" s="334"/>
      <c r="D493" s="334"/>
      <c r="E493" s="334"/>
      <c r="F493" s="334"/>
      <c r="G493" s="334"/>
      <c r="H493" s="334"/>
      <c r="I493" s="334"/>
      <c r="J493" s="334"/>
      <c r="K493" s="334"/>
      <c r="L493" s="334"/>
      <c r="M493" s="334"/>
      <c r="N493" s="334"/>
      <c r="O493" s="334"/>
      <c r="P493" s="334"/>
      <c r="Q493" s="334"/>
      <c r="R493" s="334"/>
      <c r="S493" s="334"/>
    </row>
    <row r="494">
      <c r="A494" s="334"/>
      <c r="B494" s="334"/>
      <c r="C494" s="334"/>
      <c r="D494" s="334"/>
      <c r="E494" s="334"/>
      <c r="F494" s="334"/>
      <c r="G494" s="334"/>
      <c r="H494" s="334"/>
      <c r="I494" s="334"/>
      <c r="J494" s="334"/>
      <c r="K494" s="334"/>
      <c r="L494" s="334"/>
      <c r="M494" s="334"/>
      <c r="N494" s="334"/>
      <c r="O494" s="334"/>
      <c r="P494" s="334"/>
      <c r="Q494" s="334"/>
      <c r="R494" s="334"/>
      <c r="S494" s="334"/>
    </row>
    <row r="495">
      <c r="A495" s="334"/>
      <c r="B495" s="334"/>
      <c r="C495" s="334"/>
      <c r="D495" s="334"/>
      <c r="E495" s="334"/>
      <c r="F495" s="334"/>
      <c r="G495" s="334"/>
      <c r="H495" s="334"/>
      <c r="I495" s="334"/>
      <c r="J495" s="334"/>
      <c r="K495" s="334"/>
      <c r="L495" s="334"/>
      <c r="M495" s="334"/>
      <c r="N495" s="334"/>
      <c r="O495" s="334"/>
      <c r="P495" s="334"/>
      <c r="Q495" s="334"/>
      <c r="R495" s="334"/>
      <c r="S495" s="334"/>
    </row>
    <row r="496">
      <c r="A496" s="334"/>
      <c r="B496" s="334"/>
      <c r="C496" s="334"/>
      <c r="D496" s="334"/>
      <c r="E496" s="334"/>
      <c r="F496" s="334"/>
      <c r="G496" s="334"/>
      <c r="H496" s="334"/>
      <c r="I496" s="334"/>
      <c r="J496" s="334"/>
      <c r="K496" s="334"/>
      <c r="L496" s="334"/>
      <c r="M496" s="334"/>
      <c r="N496" s="334"/>
      <c r="O496" s="334"/>
      <c r="P496" s="334"/>
      <c r="Q496" s="334"/>
      <c r="R496" s="334"/>
      <c r="S496" s="334"/>
    </row>
    <row r="497">
      <c r="A497" s="334"/>
      <c r="B497" s="334"/>
      <c r="C497" s="334"/>
      <c r="D497" s="334"/>
      <c r="E497" s="334"/>
      <c r="F497" s="334"/>
      <c r="G497" s="334"/>
      <c r="H497" s="334"/>
      <c r="I497" s="334"/>
      <c r="J497" s="334"/>
      <c r="K497" s="334"/>
      <c r="L497" s="334"/>
      <c r="M497" s="334"/>
      <c r="N497" s="334"/>
      <c r="O497" s="334"/>
      <c r="P497" s="334"/>
      <c r="Q497" s="334"/>
      <c r="R497" s="334"/>
      <c r="S497" s="334"/>
    </row>
    <row r="498">
      <c r="A498" s="334"/>
      <c r="B498" s="334"/>
      <c r="C498" s="334"/>
      <c r="D498" s="334"/>
      <c r="E498" s="334"/>
      <c r="F498" s="334"/>
      <c r="G498" s="334"/>
      <c r="H498" s="334"/>
      <c r="I498" s="334"/>
      <c r="J498" s="334"/>
      <c r="K498" s="334"/>
      <c r="L498" s="334"/>
      <c r="M498" s="334"/>
      <c r="N498" s="334"/>
      <c r="O498" s="334"/>
      <c r="P498" s="334"/>
      <c r="Q498" s="334"/>
      <c r="R498" s="334"/>
      <c r="S498" s="334"/>
    </row>
    <row r="499">
      <c r="A499" s="334"/>
      <c r="B499" s="334"/>
      <c r="C499" s="334"/>
      <c r="D499" s="334"/>
      <c r="E499" s="334"/>
      <c r="F499" s="334"/>
      <c r="G499" s="334"/>
      <c r="H499" s="334"/>
      <c r="I499" s="334"/>
      <c r="J499" s="334"/>
      <c r="K499" s="334"/>
      <c r="L499" s="334"/>
      <c r="M499" s="334"/>
      <c r="N499" s="334"/>
      <c r="O499" s="334"/>
      <c r="P499" s="334"/>
      <c r="Q499" s="334"/>
      <c r="R499" s="334"/>
      <c r="S499" s="334"/>
    </row>
    <row r="500">
      <c r="A500" s="334"/>
      <c r="B500" s="334"/>
      <c r="C500" s="334"/>
      <c r="D500" s="334"/>
      <c r="E500" s="334"/>
      <c r="F500" s="334"/>
      <c r="G500" s="334"/>
      <c r="H500" s="334"/>
      <c r="I500" s="334"/>
      <c r="J500" s="334"/>
      <c r="K500" s="334"/>
      <c r="L500" s="334"/>
      <c r="M500" s="334"/>
      <c r="N500" s="334"/>
      <c r="O500" s="334"/>
      <c r="P500" s="334"/>
      <c r="Q500" s="334"/>
      <c r="R500" s="334"/>
      <c r="S500" s="334"/>
    </row>
    <row r="501">
      <c r="A501" s="334"/>
      <c r="B501" s="334"/>
      <c r="C501" s="334"/>
      <c r="D501" s="334"/>
      <c r="E501" s="334"/>
      <c r="F501" s="334"/>
      <c r="G501" s="334"/>
      <c r="H501" s="334"/>
      <c r="I501" s="334"/>
      <c r="J501" s="334"/>
      <c r="K501" s="334"/>
      <c r="L501" s="334"/>
      <c r="M501" s="334"/>
      <c r="N501" s="334"/>
      <c r="O501" s="334"/>
      <c r="P501" s="334"/>
      <c r="Q501" s="334"/>
      <c r="R501" s="334"/>
      <c r="S501" s="334"/>
    </row>
    <row r="502">
      <c r="A502" s="334"/>
      <c r="B502" s="334"/>
      <c r="C502" s="334"/>
      <c r="D502" s="334"/>
      <c r="E502" s="334"/>
      <c r="F502" s="334"/>
      <c r="G502" s="334"/>
      <c r="H502" s="334"/>
      <c r="I502" s="334"/>
      <c r="J502" s="334"/>
      <c r="K502" s="334"/>
      <c r="L502" s="334"/>
      <c r="M502" s="334"/>
      <c r="N502" s="334"/>
      <c r="O502" s="334"/>
      <c r="P502" s="334"/>
      <c r="Q502" s="334"/>
      <c r="R502" s="334"/>
      <c r="S502" s="334"/>
    </row>
    <row r="503">
      <c r="A503" s="334"/>
      <c r="B503" s="334"/>
      <c r="C503" s="334"/>
      <c r="D503" s="334"/>
      <c r="E503" s="334"/>
      <c r="F503" s="334"/>
      <c r="G503" s="334"/>
      <c r="H503" s="334"/>
      <c r="I503" s="334"/>
      <c r="J503" s="334"/>
      <c r="K503" s="334"/>
      <c r="L503" s="334"/>
      <c r="M503" s="334"/>
      <c r="N503" s="334"/>
      <c r="O503" s="334"/>
      <c r="P503" s="334"/>
      <c r="Q503" s="334"/>
      <c r="R503" s="334"/>
      <c r="S503" s="334"/>
    </row>
    <row r="504">
      <c r="A504" s="334"/>
      <c r="B504" s="334"/>
      <c r="C504" s="334"/>
      <c r="D504" s="334"/>
      <c r="E504" s="334"/>
      <c r="F504" s="334"/>
      <c r="G504" s="334"/>
      <c r="H504" s="334"/>
      <c r="I504" s="334"/>
      <c r="J504" s="334"/>
      <c r="K504" s="334"/>
      <c r="L504" s="334"/>
      <c r="M504" s="334"/>
      <c r="N504" s="334"/>
      <c r="O504" s="334"/>
      <c r="P504" s="334"/>
      <c r="Q504" s="334"/>
      <c r="R504" s="334"/>
      <c r="S504" s="334"/>
    </row>
    <row r="505">
      <c r="A505" s="334"/>
      <c r="B505" s="334"/>
      <c r="C505" s="334"/>
      <c r="D505" s="334"/>
      <c r="E505" s="334"/>
      <c r="F505" s="334"/>
      <c r="G505" s="334"/>
      <c r="H505" s="334"/>
      <c r="I505" s="334"/>
      <c r="J505" s="334"/>
      <c r="K505" s="334"/>
      <c r="L505" s="334"/>
      <c r="M505" s="334"/>
      <c r="N505" s="334"/>
      <c r="O505" s="334"/>
      <c r="P505" s="334"/>
      <c r="Q505" s="334"/>
      <c r="R505" s="334"/>
      <c r="S505" s="334"/>
    </row>
    <row r="506">
      <c r="A506" s="334"/>
      <c r="B506" s="334"/>
      <c r="C506" s="334"/>
      <c r="D506" s="334"/>
      <c r="E506" s="334"/>
      <c r="F506" s="334"/>
      <c r="G506" s="334"/>
      <c r="H506" s="334"/>
      <c r="I506" s="334"/>
      <c r="J506" s="334"/>
      <c r="K506" s="334"/>
      <c r="L506" s="334"/>
      <c r="M506" s="334"/>
      <c r="N506" s="334"/>
      <c r="O506" s="334"/>
      <c r="P506" s="334"/>
      <c r="Q506" s="334"/>
      <c r="R506" s="334"/>
      <c r="S506" s="334"/>
    </row>
    <row r="507">
      <c r="A507" s="334"/>
      <c r="B507" s="334"/>
      <c r="C507" s="334"/>
      <c r="D507" s="334"/>
      <c r="E507" s="334"/>
      <c r="F507" s="334"/>
      <c r="G507" s="334"/>
      <c r="H507" s="334"/>
      <c r="I507" s="334"/>
      <c r="J507" s="334"/>
      <c r="K507" s="334"/>
      <c r="L507" s="334"/>
      <c r="M507" s="334"/>
      <c r="N507" s="334"/>
      <c r="O507" s="334"/>
      <c r="P507" s="334"/>
      <c r="Q507" s="334"/>
      <c r="R507" s="334"/>
      <c r="S507" s="334"/>
    </row>
    <row r="508">
      <c r="A508" s="334"/>
      <c r="B508" s="334"/>
      <c r="C508" s="334"/>
      <c r="D508" s="334"/>
      <c r="E508" s="334"/>
      <c r="F508" s="334"/>
      <c r="G508" s="334"/>
      <c r="H508" s="334"/>
      <c r="I508" s="334"/>
      <c r="J508" s="334"/>
      <c r="K508" s="334"/>
      <c r="L508" s="334"/>
      <c r="M508" s="334"/>
      <c r="N508" s="334"/>
      <c r="O508" s="334"/>
      <c r="P508" s="334"/>
      <c r="Q508" s="334"/>
      <c r="R508" s="334"/>
      <c r="S508" s="334"/>
    </row>
    <row r="509">
      <c r="A509" s="334"/>
      <c r="B509" s="334"/>
      <c r="C509" s="334"/>
      <c r="D509" s="334"/>
      <c r="E509" s="334"/>
      <c r="F509" s="334"/>
      <c r="G509" s="334"/>
      <c r="H509" s="334"/>
      <c r="I509" s="334"/>
      <c r="J509" s="334"/>
      <c r="K509" s="334"/>
      <c r="L509" s="334"/>
      <c r="M509" s="334"/>
      <c r="N509" s="334"/>
      <c r="O509" s="334"/>
      <c r="P509" s="334"/>
      <c r="Q509" s="334"/>
      <c r="R509" s="334"/>
      <c r="S509" s="334"/>
    </row>
    <row r="510">
      <c r="A510" s="334"/>
      <c r="B510" s="334"/>
      <c r="C510" s="334"/>
      <c r="D510" s="334"/>
      <c r="E510" s="334"/>
      <c r="F510" s="334"/>
      <c r="G510" s="334"/>
      <c r="H510" s="334"/>
      <c r="I510" s="334"/>
      <c r="J510" s="334"/>
      <c r="K510" s="334"/>
      <c r="L510" s="334"/>
      <c r="M510" s="334"/>
      <c r="N510" s="334"/>
      <c r="O510" s="334"/>
      <c r="P510" s="334"/>
      <c r="Q510" s="334"/>
      <c r="R510" s="334"/>
      <c r="S510" s="334"/>
    </row>
    <row r="511">
      <c r="A511" s="334"/>
      <c r="B511" s="334"/>
      <c r="C511" s="334"/>
      <c r="D511" s="334"/>
      <c r="E511" s="334"/>
      <c r="F511" s="334"/>
      <c r="G511" s="334"/>
      <c r="H511" s="334"/>
      <c r="I511" s="334"/>
      <c r="J511" s="334"/>
      <c r="K511" s="334"/>
      <c r="L511" s="334"/>
      <c r="M511" s="334"/>
      <c r="N511" s="334"/>
      <c r="O511" s="334"/>
      <c r="P511" s="334"/>
      <c r="Q511" s="334"/>
      <c r="R511" s="334"/>
      <c r="S511" s="334"/>
    </row>
    <row r="512">
      <c r="A512" s="334"/>
      <c r="B512" s="334"/>
      <c r="C512" s="334"/>
      <c r="D512" s="334"/>
      <c r="E512" s="334"/>
      <c r="F512" s="334"/>
      <c r="G512" s="334"/>
      <c r="H512" s="334"/>
      <c r="I512" s="334"/>
      <c r="J512" s="334"/>
      <c r="K512" s="334"/>
      <c r="L512" s="334"/>
      <c r="M512" s="334"/>
      <c r="N512" s="334"/>
      <c r="O512" s="334"/>
      <c r="P512" s="334"/>
      <c r="Q512" s="334"/>
      <c r="R512" s="334"/>
      <c r="S512" s="334"/>
    </row>
    <row r="513">
      <c r="A513" s="334"/>
      <c r="B513" s="334"/>
      <c r="C513" s="334"/>
      <c r="D513" s="334"/>
      <c r="E513" s="334"/>
      <c r="F513" s="334"/>
      <c r="G513" s="334"/>
      <c r="H513" s="334"/>
      <c r="I513" s="334"/>
      <c r="J513" s="334"/>
      <c r="K513" s="334"/>
      <c r="L513" s="334"/>
      <c r="M513" s="334"/>
      <c r="N513" s="334"/>
      <c r="O513" s="334"/>
      <c r="P513" s="334"/>
      <c r="Q513" s="334"/>
      <c r="R513" s="334"/>
      <c r="S513" s="334"/>
    </row>
    <row r="514">
      <c r="A514" s="334"/>
      <c r="B514" s="334"/>
      <c r="C514" s="334"/>
      <c r="D514" s="334"/>
      <c r="E514" s="334"/>
      <c r="F514" s="334"/>
      <c r="G514" s="334"/>
      <c r="H514" s="334"/>
      <c r="I514" s="334"/>
      <c r="J514" s="334"/>
      <c r="K514" s="334"/>
      <c r="L514" s="334"/>
      <c r="M514" s="334"/>
      <c r="N514" s="334"/>
      <c r="O514" s="334"/>
      <c r="P514" s="334"/>
      <c r="Q514" s="334"/>
      <c r="R514" s="334"/>
      <c r="S514" s="334"/>
    </row>
    <row r="515">
      <c r="A515" s="334"/>
      <c r="B515" s="334"/>
      <c r="C515" s="334"/>
      <c r="D515" s="334"/>
      <c r="E515" s="334"/>
      <c r="F515" s="334"/>
      <c r="G515" s="334"/>
      <c r="H515" s="334"/>
      <c r="I515" s="334"/>
      <c r="J515" s="334"/>
      <c r="K515" s="334"/>
      <c r="L515" s="334"/>
      <c r="M515" s="334"/>
      <c r="N515" s="334"/>
      <c r="O515" s="334"/>
      <c r="P515" s="334"/>
      <c r="Q515" s="334"/>
      <c r="R515" s="334"/>
      <c r="S515" s="334"/>
    </row>
    <row r="516">
      <c r="A516" s="334"/>
      <c r="B516" s="334"/>
      <c r="C516" s="334"/>
      <c r="D516" s="334"/>
      <c r="E516" s="334"/>
      <c r="F516" s="334"/>
      <c r="G516" s="334"/>
      <c r="H516" s="334"/>
      <c r="I516" s="334"/>
      <c r="J516" s="334"/>
      <c r="K516" s="334"/>
      <c r="L516" s="334"/>
      <c r="M516" s="334"/>
      <c r="N516" s="334"/>
      <c r="O516" s="334"/>
      <c r="P516" s="334"/>
      <c r="Q516" s="334"/>
      <c r="R516" s="334"/>
      <c r="S516" s="334"/>
    </row>
    <row r="517">
      <c r="A517" s="334"/>
      <c r="B517" s="334"/>
      <c r="C517" s="334"/>
      <c r="D517" s="334"/>
      <c r="E517" s="334"/>
      <c r="F517" s="334"/>
      <c r="G517" s="334"/>
      <c r="H517" s="334"/>
      <c r="I517" s="334"/>
      <c r="J517" s="334"/>
      <c r="K517" s="334"/>
      <c r="L517" s="334"/>
      <c r="M517" s="334"/>
      <c r="N517" s="334"/>
      <c r="O517" s="334"/>
      <c r="P517" s="334"/>
      <c r="Q517" s="334"/>
      <c r="R517" s="334"/>
      <c r="S517" s="334"/>
    </row>
    <row r="518">
      <c r="A518" s="334"/>
      <c r="B518" s="334"/>
      <c r="C518" s="334"/>
      <c r="D518" s="334"/>
      <c r="E518" s="334"/>
      <c r="F518" s="334"/>
      <c r="G518" s="334"/>
      <c r="H518" s="334"/>
      <c r="I518" s="334"/>
      <c r="J518" s="334"/>
      <c r="K518" s="334"/>
      <c r="L518" s="334"/>
      <c r="M518" s="334"/>
      <c r="N518" s="334"/>
      <c r="O518" s="334"/>
      <c r="P518" s="334"/>
      <c r="Q518" s="334"/>
      <c r="R518" s="334"/>
      <c r="S518" s="334"/>
    </row>
    <row r="519">
      <c r="A519" s="334"/>
      <c r="B519" s="334"/>
      <c r="C519" s="334"/>
      <c r="D519" s="334"/>
      <c r="E519" s="334"/>
      <c r="F519" s="334"/>
      <c r="G519" s="334"/>
      <c r="H519" s="334"/>
      <c r="I519" s="334"/>
      <c r="J519" s="334"/>
      <c r="K519" s="334"/>
      <c r="L519" s="334"/>
      <c r="M519" s="334"/>
      <c r="N519" s="334"/>
      <c r="O519" s="334"/>
      <c r="P519" s="334"/>
      <c r="Q519" s="334"/>
      <c r="R519" s="334"/>
      <c r="S519" s="334"/>
    </row>
    <row r="520">
      <c r="A520" s="334"/>
      <c r="B520" s="334"/>
      <c r="C520" s="334"/>
      <c r="D520" s="334"/>
      <c r="E520" s="334"/>
      <c r="F520" s="334"/>
      <c r="G520" s="334"/>
      <c r="H520" s="334"/>
      <c r="I520" s="334"/>
      <c r="J520" s="334"/>
      <c r="K520" s="334"/>
      <c r="L520" s="334"/>
      <c r="M520" s="334"/>
      <c r="N520" s="334"/>
      <c r="O520" s="334"/>
      <c r="P520" s="334"/>
      <c r="Q520" s="334"/>
      <c r="R520" s="334"/>
      <c r="S520" s="334"/>
    </row>
    <row r="521">
      <c r="A521" s="334"/>
      <c r="B521" s="334"/>
      <c r="C521" s="334"/>
      <c r="D521" s="334"/>
      <c r="E521" s="334"/>
      <c r="F521" s="334"/>
      <c r="G521" s="334"/>
      <c r="H521" s="334"/>
      <c r="I521" s="334"/>
      <c r="J521" s="334"/>
      <c r="K521" s="334"/>
      <c r="L521" s="334"/>
      <c r="M521" s="334"/>
      <c r="N521" s="334"/>
      <c r="O521" s="334"/>
      <c r="P521" s="334"/>
      <c r="Q521" s="334"/>
      <c r="R521" s="334"/>
      <c r="S521" s="334"/>
    </row>
    <row r="522">
      <c r="A522" s="334"/>
      <c r="B522" s="334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34"/>
      <c r="N522" s="334"/>
      <c r="O522" s="334"/>
      <c r="P522" s="334"/>
      <c r="Q522" s="334"/>
      <c r="R522" s="334"/>
      <c r="S522" s="334"/>
    </row>
    <row r="523">
      <c r="A523" s="334"/>
      <c r="B523" s="334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34"/>
      <c r="N523" s="334"/>
      <c r="O523" s="334"/>
      <c r="P523" s="334"/>
      <c r="Q523" s="334"/>
      <c r="R523" s="334"/>
      <c r="S523" s="334"/>
    </row>
    <row r="524">
      <c r="A524" s="334"/>
      <c r="B524" s="334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</row>
    <row r="525">
      <c r="A525" s="334"/>
      <c r="B525" s="334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34"/>
      <c r="N525" s="334"/>
      <c r="O525" s="334"/>
      <c r="P525" s="334"/>
      <c r="Q525" s="334"/>
      <c r="R525" s="334"/>
      <c r="S525" s="334"/>
    </row>
    <row r="526">
      <c r="A526" s="334"/>
      <c r="B526" s="334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34"/>
      <c r="N526" s="334"/>
      <c r="O526" s="334"/>
      <c r="P526" s="334"/>
      <c r="Q526" s="334"/>
      <c r="R526" s="334"/>
      <c r="S526" s="334"/>
    </row>
    <row r="527">
      <c r="A527" s="334"/>
      <c r="B527" s="334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</row>
    <row r="528">
      <c r="A528" s="334"/>
      <c r="B528" s="334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</row>
    <row r="529">
      <c r="A529" s="334"/>
      <c r="B529" s="334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</row>
    <row r="530">
      <c r="A530" s="334"/>
      <c r="B530" s="334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</row>
    <row r="531">
      <c r="A531" s="334"/>
      <c r="B531" s="334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</row>
    <row r="532">
      <c r="A532" s="334"/>
      <c r="B532" s="334"/>
      <c r="C532" s="334"/>
      <c r="D532" s="334"/>
      <c r="E532" s="334"/>
      <c r="F532" s="334"/>
      <c r="G532" s="334"/>
      <c r="H532" s="334"/>
      <c r="I532" s="334"/>
      <c r="J532" s="334"/>
      <c r="K532" s="334"/>
      <c r="L532" s="334"/>
      <c r="M532" s="334"/>
      <c r="N532" s="334"/>
      <c r="O532" s="334"/>
      <c r="P532" s="334"/>
      <c r="Q532" s="334"/>
      <c r="R532" s="334"/>
      <c r="S532" s="334"/>
    </row>
    <row r="533">
      <c r="A533" s="334"/>
      <c r="B533" s="334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334"/>
      <c r="R533" s="334"/>
      <c r="S533" s="334"/>
    </row>
    <row r="534">
      <c r="A534" s="334"/>
      <c r="B534" s="334"/>
      <c r="C534" s="334"/>
      <c r="D534" s="334"/>
      <c r="E534" s="334"/>
      <c r="F534" s="334"/>
      <c r="G534" s="334"/>
      <c r="H534" s="334"/>
      <c r="I534" s="334"/>
      <c r="J534" s="334"/>
      <c r="K534" s="334"/>
      <c r="L534" s="334"/>
      <c r="M534" s="334"/>
      <c r="N534" s="334"/>
      <c r="O534" s="334"/>
      <c r="P534" s="334"/>
      <c r="Q534" s="334"/>
      <c r="R534" s="334"/>
      <c r="S534" s="334"/>
    </row>
    <row r="535">
      <c r="A535" s="334"/>
      <c r="B535" s="334"/>
      <c r="C535" s="334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</row>
    <row r="536">
      <c r="A536" s="334"/>
      <c r="B536" s="334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</row>
    <row r="537">
      <c r="A537" s="334"/>
      <c r="B537" s="334"/>
      <c r="C537" s="334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</row>
    <row r="538">
      <c r="A538" s="334"/>
      <c r="B538" s="334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</row>
    <row r="539">
      <c r="A539" s="334"/>
      <c r="B539" s="334"/>
      <c r="C539" s="334"/>
      <c r="D539" s="334"/>
      <c r="E539" s="334"/>
      <c r="F539" s="334"/>
      <c r="G539" s="334"/>
      <c r="H539" s="334"/>
      <c r="I539" s="334"/>
      <c r="J539" s="334"/>
      <c r="K539" s="334"/>
      <c r="L539" s="334"/>
      <c r="M539" s="334"/>
      <c r="N539" s="334"/>
      <c r="O539" s="334"/>
      <c r="P539" s="334"/>
      <c r="Q539" s="334"/>
      <c r="R539" s="334"/>
      <c r="S539" s="334"/>
    </row>
    <row r="540">
      <c r="A540" s="334"/>
      <c r="B540" s="334"/>
      <c r="C540" s="334"/>
      <c r="D540" s="334"/>
      <c r="E540" s="334"/>
      <c r="F540" s="334"/>
      <c r="G540" s="334"/>
      <c r="H540" s="334"/>
      <c r="I540" s="334"/>
      <c r="J540" s="334"/>
      <c r="K540" s="334"/>
      <c r="L540" s="334"/>
      <c r="M540" s="334"/>
      <c r="N540" s="334"/>
      <c r="O540" s="334"/>
      <c r="P540" s="334"/>
      <c r="Q540" s="334"/>
      <c r="R540" s="334"/>
      <c r="S540" s="334"/>
    </row>
    <row r="541">
      <c r="A541" s="334"/>
      <c r="B541" s="334"/>
      <c r="C541" s="334"/>
      <c r="D541" s="334"/>
      <c r="E541" s="334"/>
      <c r="F541" s="334"/>
      <c r="G541" s="334"/>
      <c r="H541" s="334"/>
      <c r="I541" s="334"/>
      <c r="J541" s="334"/>
      <c r="K541" s="334"/>
      <c r="L541" s="334"/>
      <c r="M541" s="334"/>
      <c r="N541" s="334"/>
      <c r="O541" s="334"/>
      <c r="P541" s="334"/>
      <c r="Q541" s="334"/>
      <c r="R541" s="334"/>
      <c r="S541" s="334"/>
    </row>
    <row r="542">
      <c r="A542" s="334"/>
      <c r="B542" s="334"/>
      <c r="C542" s="334"/>
      <c r="D542" s="334"/>
      <c r="E542" s="334"/>
      <c r="F542" s="334"/>
      <c r="G542" s="334"/>
      <c r="H542" s="334"/>
      <c r="I542" s="334"/>
      <c r="J542" s="334"/>
      <c r="K542" s="334"/>
      <c r="L542" s="334"/>
      <c r="M542" s="334"/>
      <c r="N542" s="334"/>
      <c r="O542" s="334"/>
      <c r="P542" s="334"/>
      <c r="Q542" s="334"/>
      <c r="R542" s="334"/>
      <c r="S542" s="334"/>
    </row>
    <row r="543">
      <c r="A543" s="334"/>
      <c r="B543" s="334"/>
      <c r="C543" s="334"/>
      <c r="D543" s="334"/>
      <c r="E543" s="334"/>
      <c r="F543" s="334"/>
      <c r="G543" s="334"/>
      <c r="H543" s="334"/>
      <c r="I543" s="334"/>
      <c r="J543" s="334"/>
      <c r="K543" s="334"/>
      <c r="L543" s="334"/>
      <c r="M543" s="334"/>
      <c r="N543" s="334"/>
      <c r="O543" s="334"/>
      <c r="P543" s="334"/>
      <c r="Q543" s="334"/>
      <c r="R543" s="334"/>
      <c r="S543" s="334"/>
    </row>
    <row r="544">
      <c r="A544" s="334"/>
      <c r="B544" s="334"/>
      <c r="C544" s="334"/>
      <c r="D544" s="334"/>
      <c r="E544" s="334"/>
      <c r="F544" s="334"/>
      <c r="G544" s="334"/>
      <c r="H544" s="334"/>
      <c r="I544" s="334"/>
      <c r="J544" s="334"/>
      <c r="K544" s="334"/>
      <c r="L544" s="334"/>
      <c r="M544" s="334"/>
      <c r="N544" s="334"/>
      <c r="O544" s="334"/>
      <c r="P544" s="334"/>
      <c r="Q544" s="334"/>
      <c r="R544" s="334"/>
      <c r="S544" s="334"/>
    </row>
    <row r="545">
      <c r="A545" s="334"/>
      <c r="B545" s="334"/>
      <c r="C545" s="334"/>
      <c r="D545" s="334"/>
      <c r="E545" s="334"/>
      <c r="F545" s="334"/>
      <c r="G545" s="334"/>
      <c r="H545" s="334"/>
      <c r="I545" s="334"/>
      <c r="J545" s="334"/>
      <c r="K545" s="334"/>
      <c r="L545" s="334"/>
      <c r="M545" s="334"/>
      <c r="N545" s="334"/>
      <c r="O545" s="334"/>
      <c r="P545" s="334"/>
      <c r="Q545" s="334"/>
      <c r="R545" s="334"/>
      <c r="S545" s="334"/>
    </row>
    <row r="546">
      <c r="A546" s="334"/>
      <c r="B546" s="334"/>
      <c r="C546" s="334"/>
      <c r="D546" s="334"/>
      <c r="E546" s="334"/>
      <c r="F546" s="334"/>
      <c r="G546" s="334"/>
      <c r="H546" s="334"/>
      <c r="I546" s="334"/>
      <c r="J546" s="334"/>
      <c r="K546" s="334"/>
      <c r="L546" s="334"/>
      <c r="M546" s="334"/>
      <c r="N546" s="334"/>
      <c r="O546" s="334"/>
      <c r="P546" s="334"/>
      <c r="Q546" s="334"/>
      <c r="R546" s="334"/>
      <c r="S546" s="334"/>
    </row>
    <row r="547">
      <c r="A547" s="334"/>
      <c r="B547" s="334"/>
      <c r="C547" s="334"/>
      <c r="D547" s="334"/>
      <c r="E547" s="334"/>
      <c r="F547" s="334"/>
      <c r="G547" s="334"/>
      <c r="H547" s="334"/>
      <c r="I547" s="334"/>
      <c r="J547" s="334"/>
      <c r="K547" s="334"/>
      <c r="L547" s="334"/>
      <c r="M547" s="334"/>
      <c r="N547" s="334"/>
      <c r="O547" s="334"/>
      <c r="P547" s="334"/>
      <c r="Q547" s="334"/>
      <c r="R547" s="334"/>
      <c r="S547" s="334"/>
    </row>
    <row r="548">
      <c r="A548" s="334"/>
      <c r="B548" s="334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</row>
    <row r="549">
      <c r="A549" s="334"/>
      <c r="B549" s="334"/>
      <c r="C549" s="334"/>
      <c r="D549" s="334"/>
      <c r="E549" s="334"/>
      <c r="F549" s="334"/>
      <c r="G549" s="334"/>
      <c r="H549" s="334"/>
      <c r="I549" s="334"/>
      <c r="J549" s="334"/>
      <c r="K549" s="334"/>
      <c r="L549" s="334"/>
      <c r="M549" s="334"/>
      <c r="N549" s="334"/>
      <c r="O549" s="334"/>
      <c r="P549" s="334"/>
      <c r="Q549" s="334"/>
      <c r="R549" s="334"/>
      <c r="S549" s="334"/>
    </row>
    <row r="550">
      <c r="A550" s="334"/>
      <c r="B550" s="334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</row>
    <row r="551">
      <c r="A551" s="334"/>
      <c r="B551" s="334"/>
      <c r="C551" s="334"/>
      <c r="D551" s="334"/>
      <c r="E551" s="334"/>
      <c r="F551" s="334"/>
      <c r="G551" s="334"/>
      <c r="H551" s="334"/>
      <c r="I551" s="334"/>
      <c r="J551" s="334"/>
      <c r="K551" s="334"/>
      <c r="L551" s="334"/>
      <c r="M551" s="334"/>
      <c r="N551" s="334"/>
      <c r="O551" s="334"/>
      <c r="P551" s="334"/>
      <c r="Q551" s="334"/>
      <c r="R551" s="334"/>
      <c r="S551" s="334"/>
    </row>
    <row r="552">
      <c r="A552" s="334"/>
      <c r="B552" s="334"/>
      <c r="C552" s="334"/>
      <c r="D552" s="334"/>
      <c r="E552" s="334"/>
      <c r="F552" s="334"/>
      <c r="G552" s="334"/>
      <c r="H552" s="334"/>
      <c r="I552" s="334"/>
      <c r="J552" s="334"/>
      <c r="K552" s="334"/>
      <c r="L552" s="334"/>
      <c r="M552" s="334"/>
      <c r="N552" s="334"/>
      <c r="O552" s="334"/>
      <c r="P552" s="334"/>
      <c r="Q552" s="334"/>
      <c r="R552" s="334"/>
      <c r="S552" s="334"/>
    </row>
    <row r="553">
      <c r="A553" s="334"/>
      <c r="B553" s="334"/>
      <c r="C553" s="334"/>
      <c r="D553" s="334"/>
      <c r="E553" s="334"/>
      <c r="F553" s="334"/>
      <c r="G553" s="334"/>
      <c r="H553" s="334"/>
      <c r="I553" s="334"/>
      <c r="J553" s="334"/>
      <c r="K553" s="334"/>
      <c r="L553" s="334"/>
      <c r="M553" s="334"/>
      <c r="N553" s="334"/>
      <c r="O553" s="334"/>
      <c r="P553" s="334"/>
      <c r="Q553" s="334"/>
      <c r="R553" s="334"/>
      <c r="S553" s="334"/>
    </row>
    <row r="554">
      <c r="A554" s="334"/>
      <c r="B554" s="334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34"/>
      <c r="Q554" s="334"/>
      <c r="R554" s="334"/>
      <c r="S554" s="334"/>
    </row>
    <row r="555">
      <c r="A555" s="334"/>
      <c r="B555" s="334"/>
      <c r="C555" s="334"/>
      <c r="D555" s="334"/>
      <c r="E555" s="334"/>
      <c r="F555" s="334"/>
      <c r="G555" s="334"/>
      <c r="H555" s="334"/>
      <c r="I555" s="334"/>
      <c r="J555" s="334"/>
      <c r="K555" s="334"/>
      <c r="L555" s="334"/>
      <c r="M555" s="334"/>
      <c r="N555" s="334"/>
      <c r="O555" s="334"/>
      <c r="P555" s="334"/>
      <c r="Q555" s="334"/>
      <c r="R555" s="334"/>
      <c r="S555" s="334"/>
    </row>
    <row r="556">
      <c r="A556" s="334"/>
      <c r="B556" s="334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34"/>
      <c r="Q556" s="334"/>
      <c r="R556" s="334"/>
      <c r="S556" s="334"/>
    </row>
    <row r="557">
      <c r="A557" s="334"/>
      <c r="B557" s="334"/>
      <c r="C557" s="334"/>
      <c r="D557" s="334"/>
      <c r="E557" s="334"/>
      <c r="F557" s="334"/>
      <c r="G557" s="334"/>
      <c r="H557" s="334"/>
      <c r="I557" s="334"/>
      <c r="J557" s="334"/>
      <c r="K557" s="334"/>
      <c r="L557" s="334"/>
      <c r="M557" s="334"/>
      <c r="N557" s="334"/>
      <c r="O557" s="334"/>
      <c r="P557" s="334"/>
      <c r="Q557" s="334"/>
      <c r="R557" s="334"/>
      <c r="S557" s="334"/>
    </row>
    <row r="558">
      <c r="A558" s="334"/>
      <c r="B558" s="334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334"/>
      <c r="Q558" s="334"/>
      <c r="R558" s="334"/>
      <c r="S558" s="334"/>
    </row>
    <row r="559">
      <c r="A559" s="334"/>
      <c r="B559" s="334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334"/>
      <c r="Q559" s="334"/>
      <c r="R559" s="334"/>
      <c r="S559" s="334"/>
    </row>
    <row r="560">
      <c r="A560" s="334"/>
      <c r="B560" s="334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334"/>
      <c r="Q560" s="334"/>
      <c r="R560" s="334"/>
      <c r="S560" s="334"/>
    </row>
    <row r="561">
      <c r="A561" s="334"/>
      <c r="B561" s="334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334"/>
      <c r="Q561" s="334"/>
      <c r="R561" s="334"/>
      <c r="S561" s="334"/>
    </row>
    <row r="562">
      <c r="A562" s="334"/>
      <c r="B562" s="334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334"/>
      <c r="Q562" s="334"/>
      <c r="R562" s="334"/>
      <c r="S562" s="334"/>
    </row>
    <row r="563">
      <c r="A563" s="334"/>
      <c r="B563" s="334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334"/>
      <c r="Q563" s="334"/>
      <c r="R563" s="334"/>
      <c r="S563" s="334"/>
    </row>
    <row r="564">
      <c r="A564" s="334"/>
      <c r="B564" s="334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334"/>
      <c r="Q564" s="334"/>
      <c r="R564" s="334"/>
      <c r="S564" s="334"/>
    </row>
    <row r="565">
      <c r="A565" s="334"/>
      <c r="B565" s="334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334"/>
      <c r="Q565" s="334"/>
      <c r="R565" s="334"/>
      <c r="S565" s="334"/>
    </row>
    <row r="566">
      <c r="A566" s="334"/>
      <c r="B566" s="334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334"/>
      <c r="Q566" s="334"/>
      <c r="R566" s="334"/>
      <c r="S566" s="334"/>
    </row>
    <row r="567">
      <c r="A567" s="334"/>
      <c r="B567" s="334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334"/>
      <c r="Q567" s="334"/>
      <c r="R567" s="334"/>
      <c r="S567" s="334"/>
    </row>
    <row r="568">
      <c r="A568" s="334"/>
      <c r="B568" s="334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334"/>
      <c r="Q568" s="334"/>
      <c r="R568" s="334"/>
      <c r="S568" s="334"/>
    </row>
    <row r="569">
      <c r="A569" s="334"/>
      <c r="B569" s="334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334"/>
      <c r="Q569" s="334"/>
      <c r="R569" s="334"/>
      <c r="S569" s="334"/>
    </row>
    <row r="570">
      <c r="A570" s="334"/>
      <c r="B570" s="334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334"/>
      <c r="Q570" s="334"/>
      <c r="R570" s="334"/>
      <c r="S570" s="334"/>
    </row>
    <row r="571">
      <c r="A571" s="334"/>
      <c r="B571" s="334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334"/>
      <c r="Q571" s="334"/>
      <c r="R571" s="334"/>
      <c r="S571" s="334"/>
    </row>
    <row r="572">
      <c r="A572" s="334"/>
      <c r="B572" s="334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334"/>
      <c r="Q572" s="334"/>
      <c r="R572" s="334"/>
      <c r="S572" s="334"/>
    </row>
    <row r="573">
      <c r="A573" s="334"/>
      <c r="B573" s="334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334"/>
      <c r="Q573" s="334"/>
      <c r="R573" s="334"/>
      <c r="S573" s="334"/>
    </row>
    <row r="574">
      <c r="A574" s="334"/>
      <c r="B574" s="334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334"/>
      <c r="Q574" s="334"/>
      <c r="R574" s="334"/>
      <c r="S574" s="334"/>
    </row>
    <row r="575">
      <c r="A575" s="334"/>
      <c r="B575" s="334"/>
      <c r="C575" s="334"/>
      <c r="D575" s="334"/>
      <c r="E575" s="334"/>
      <c r="F575" s="334"/>
      <c r="G575" s="334"/>
      <c r="H575" s="334"/>
      <c r="I575" s="334"/>
      <c r="J575" s="334"/>
      <c r="K575" s="334"/>
      <c r="L575" s="334"/>
      <c r="M575" s="334"/>
      <c r="N575" s="334"/>
      <c r="O575" s="334"/>
      <c r="P575" s="334"/>
      <c r="Q575" s="334"/>
      <c r="R575" s="334"/>
      <c r="S575" s="334"/>
    </row>
    <row r="576">
      <c r="A576" s="334"/>
      <c r="B576" s="334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334"/>
      <c r="Q576" s="334"/>
      <c r="R576" s="334"/>
      <c r="S576" s="334"/>
    </row>
    <row r="577">
      <c r="A577" s="334"/>
      <c r="B577" s="334"/>
      <c r="C577" s="334"/>
      <c r="D577" s="334"/>
      <c r="E577" s="334"/>
      <c r="F577" s="334"/>
      <c r="G577" s="334"/>
      <c r="H577" s="334"/>
      <c r="I577" s="334"/>
      <c r="J577" s="334"/>
      <c r="K577" s="334"/>
      <c r="L577" s="334"/>
      <c r="M577" s="334"/>
      <c r="N577" s="334"/>
      <c r="O577" s="334"/>
      <c r="P577" s="334"/>
      <c r="Q577" s="334"/>
      <c r="R577" s="334"/>
      <c r="S577" s="334"/>
    </row>
    <row r="578">
      <c r="A578" s="334"/>
      <c r="B578" s="334"/>
      <c r="C578" s="334"/>
      <c r="D578" s="334"/>
      <c r="E578" s="334"/>
      <c r="F578" s="334"/>
      <c r="G578" s="334"/>
      <c r="H578" s="334"/>
      <c r="I578" s="334"/>
      <c r="J578" s="334"/>
      <c r="K578" s="334"/>
      <c r="L578" s="334"/>
      <c r="M578" s="334"/>
      <c r="N578" s="334"/>
      <c r="O578" s="334"/>
      <c r="P578" s="334"/>
      <c r="Q578" s="334"/>
      <c r="R578" s="334"/>
      <c r="S578" s="334"/>
    </row>
    <row r="579">
      <c r="A579" s="334"/>
      <c r="B579" s="334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334"/>
      <c r="S579" s="334"/>
    </row>
    <row r="580">
      <c r="A580" s="334"/>
      <c r="B580" s="334"/>
      <c r="C580" s="334"/>
      <c r="D580" s="334"/>
      <c r="E580" s="334"/>
      <c r="F580" s="334"/>
      <c r="G580" s="334"/>
      <c r="H580" s="334"/>
      <c r="I580" s="334"/>
      <c r="J580" s="334"/>
      <c r="K580" s="334"/>
      <c r="L580" s="334"/>
      <c r="M580" s="334"/>
      <c r="N580" s="334"/>
      <c r="O580" s="334"/>
      <c r="P580" s="334"/>
      <c r="Q580" s="334"/>
      <c r="R580" s="334"/>
      <c r="S580" s="334"/>
    </row>
    <row r="581">
      <c r="A581" s="334"/>
      <c r="B581" s="334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334"/>
      <c r="S581" s="334"/>
    </row>
    <row r="582">
      <c r="A582" s="334"/>
      <c r="B582" s="334"/>
      <c r="C582" s="334"/>
      <c r="D582" s="334"/>
      <c r="E582" s="334"/>
      <c r="F582" s="334"/>
      <c r="G582" s="334"/>
      <c r="H582" s="334"/>
      <c r="I582" s="334"/>
      <c r="J582" s="334"/>
      <c r="K582" s="334"/>
      <c r="L582" s="334"/>
      <c r="M582" s="334"/>
      <c r="N582" s="334"/>
      <c r="O582" s="334"/>
      <c r="P582" s="334"/>
      <c r="Q582" s="334"/>
      <c r="R582" s="334"/>
      <c r="S582" s="334"/>
    </row>
    <row r="583">
      <c r="A583" s="334"/>
      <c r="B583" s="334"/>
      <c r="C583" s="334"/>
      <c r="D583" s="334"/>
      <c r="E583" s="334"/>
      <c r="F583" s="334"/>
      <c r="G583" s="334"/>
      <c r="H583" s="334"/>
      <c r="I583" s="334"/>
      <c r="J583" s="334"/>
      <c r="K583" s="334"/>
      <c r="L583" s="334"/>
      <c r="M583" s="334"/>
      <c r="N583" s="334"/>
      <c r="O583" s="334"/>
      <c r="P583" s="334"/>
      <c r="Q583" s="334"/>
      <c r="R583" s="334"/>
      <c r="S583" s="334"/>
    </row>
    <row r="584">
      <c r="A584" s="334"/>
      <c r="B584" s="334"/>
      <c r="C584" s="334"/>
      <c r="D584" s="334"/>
      <c r="E584" s="334"/>
      <c r="F584" s="334"/>
      <c r="G584" s="334"/>
      <c r="H584" s="334"/>
      <c r="I584" s="334"/>
      <c r="J584" s="334"/>
      <c r="K584" s="334"/>
      <c r="L584" s="334"/>
      <c r="M584" s="334"/>
      <c r="N584" s="334"/>
      <c r="O584" s="334"/>
      <c r="P584" s="334"/>
      <c r="Q584" s="334"/>
      <c r="R584" s="334"/>
      <c r="S584" s="334"/>
    </row>
    <row r="585">
      <c r="A585" s="334"/>
      <c r="B585" s="334"/>
      <c r="C585" s="334"/>
      <c r="D585" s="334"/>
      <c r="E585" s="334"/>
      <c r="F585" s="334"/>
      <c r="G585" s="334"/>
      <c r="H585" s="334"/>
      <c r="I585" s="334"/>
      <c r="J585" s="334"/>
      <c r="K585" s="334"/>
      <c r="L585" s="334"/>
      <c r="M585" s="334"/>
      <c r="N585" s="334"/>
      <c r="O585" s="334"/>
      <c r="P585" s="334"/>
      <c r="Q585" s="334"/>
      <c r="R585" s="334"/>
      <c r="S585" s="334"/>
    </row>
    <row r="586">
      <c r="A586" s="334"/>
      <c r="B586" s="334"/>
      <c r="C586" s="334"/>
      <c r="D586" s="334"/>
      <c r="E586" s="334"/>
      <c r="F586" s="334"/>
      <c r="G586" s="334"/>
      <c r="H586" s="334"/>
      <c r="I586" s="334"/>
      <c r="J586" s="334"/>
      <c r="K586" s="334"/>
      <c r="L586" s="334"/>
      <c r="M586" s="334"/>
      <c r="N586" s="334"/>
      <c r="O586" s="334"/>
      <c r="P586" s="334"/>
      <c r="Q586" s="334"/>
      <c r="R586" s="334"/>
      <c r="S586" s="334"/>
    </row>
    <row r="587">
      <c r="A587" s="334"/>
      <c r="B587" s="334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</row>
    <row r="588">
      <c r="A588" s="334"/>
      <c r="B588" s="334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</row>
    <row r="589">
      <c r="A589" s="334"/>
      <c r="B589" s="334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</row>
    <row r="590">
      <c r="A590" s="334"/>
      <c r="B590" s="334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</row>
    <row r="591">
      <c r="A591" s="334"/>
      <c r="B591" s="334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</row>
    <row r="592">
      <c r="A592" s="334"/>
      <c r="B592" s="334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</row>
    <row r="593">
      <c r="A593" s="334"/>
      <c r="B593" s="334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</row>
    <row r="594">
      <c r="A594" s="334"/>
      <c r="B594" s="334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</row>
    <row r="595">
      <c r="A595" s="334"/>
      <c r="B595" s="334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</row>
    <row r="596">
      <c r="A596" s="334"/>
      <c r="B596" s="334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</row>
    <row r="597">
      <c r="A597" s="334"/>
      <c r="B597" s="334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</row>
    <row r="598">
      <c r="A598" s="334"/>
      <c r="B598" s="334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</row>
    <row r="599">
      <c r="A599" s="334"/>
      <c r="B599" s="334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</row>
    <row r="600">
      <c r="A600" s="334"/>
      <c r="B600" s="334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</row>
    <row r="601">
      <c r="A601" s="334"/>
      <c r="B601" s="334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</row>
    <row r="602">
      <c r="A602" s="334"/>
      <c r="B602" s="334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</row>
    <row r="603">
      <c r="A603" s="334"/>
      <c r="B603" s="334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</row>
    <row r="604">
      <c r="A604" s="334"/>
      <c r="B604" s="334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</row>
    <row r="605">
      <c r="A605" s="334"/>
      <c r="B605" s="334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</row>
    <row r="606">
      <c r="A606" s="334"/>
      <c r="B606" s="334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</row>
    <row r="607">
      <c r="A607" s="334"/>
      <c r="B607" s="334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</row>
    <row r="608">
      <c r="A608" s="334"/>
      <c r="B608" s="334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</row>
    <row r="609">
      <c r="A609" s="334"/>
      <c r="B609" s="334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</row>
    <row r="610">
      <c r="A610" s="334"/>
      <c r="B610" s="334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</row>
    <row r="611">
      <c r="A611" s="334"/>
      <c r="B611" s="334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</row>
    <row r="612">
      <c r="A612" s="334"/>
      <c r="B612" s="334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</row>
    <row r="613">
      <c r="A613" s="334"/>
      <c r="B613" s="334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</row>
    <row r="614">
      <c r="A614" s="334"/>
      <c r="B614" s="334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</row>
    <row r="615">
      <c r="A615" s="334"/>
      <c r="B615" s="334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</row>
    <row r="616">
      <c r="A616" s="334"/>
      <c r="B616" s="334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</row>
    <row r="617">
      <c r="A617" s="334"/>
      <c r="B617" s="334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</row>
    <row r="618">
      <c r="A618" s="334"/>
      <c r="B618" s="334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</row>
    <row r="619">
      <c r="A619" s="334"/>
      <c r="B619" s="334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</row>
    <row r="620">
      <c r="A620" s="334"/>
      <c r="B620" s="334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</row>
    <row r="621">
      <c r="A621" s="334"/>
      <c r="B621" s="334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</row>
    <row r="622">
      <c r="A622" s="334"/>
      <c r="B622" s="334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</row>
    <row r="623">
      <c r="A623" s="334"/>
      <c r="B623" s="334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</row>
    <row r="624">
      <c r="A624" s="334"/>
      <c r="B624" s="334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</row>
    <row r="625">
      <c r="A625" s="334"/>
      <c r="B625" s="334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</row>
    <row r="626">
      <c r="A626" s="334"/>
      <c r="B626" s="334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</row>
    <row r="627">
      <c r="A627" s="334"/>
      <c r="B627" s="334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</row>
    <row r="628">
      <c r="A628" s="334"/>
      <c r="B628" s="334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</row>
    <row r="629">
      <c r="A629" s="334"/>
      <c r="B629" s="334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</row>
    <row r="630">
      <c r="A630" s="334"/>
      <c r="B630" s="334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</row>
    <row r="631">
      <c r="A631" s="334"/>
      <c r="B631" s="334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</row>
    <row r="632">
      <c r="A632" s="334"/>
      <c r="B632" s="334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</row>
    <row r="633">
      <c r="A633" s="334"/>
      <c r="B633" s="334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</row>
    <row r="634">
      <c r="A634" s="334"/>
      <c r="B634" s="334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</row>
    <row r="635">
      <c r="A635" s="334"/>
      <c r="B635" s="334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</row>
    <row r="636">
      <c r="A636" s="334"/>
      <c r="B636" s="334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</row>
    <row r="637">
      <c r="A637" s="334"/>
      <c r="B637" s="334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</row>
    <row r="638">
      <c r="A638" s="334"/>
      <c r="B638" s="334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</row>
    <row r="639">
      <c r="A639" s="334"/>
      <c r="B639" s="334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</row>
    <row r="640">
      <c r="A640" s="334"/>
      <c r="B640" s="334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</row>
    <row r="641">
      <c r="A641" s="334"/>
      <c r="B641" s="334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</row>
    <row r="642">
      <c r="A642" s="334"/>
      <c r="B642" s="334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</row>
    <row r="643">
      <c r="A643" s="334"/>
      <c r="B643" s="334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</row>
    <row r="644">
      <c r="A644" s="334"/>
      <c r="B644" s="334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</row>
    <row r="645">
      <c r="A645" s="334"/>
      <c r="B645" s="334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</row>
    <row r="646">
      <c r="A646" s="334"/>
      <c r="B646" s="334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</row>
    <row r="647">
      <c r="A647" s="334"/>
      <c r="B647" s="334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</row>
    <row r="648">
      <c r="A648" s="334"/>
      <c r="B648" s="334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</row>
    <row r="649">
      <c r="A649" s="334"/>
      <c r="B649" s="334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</row>
    <row r="650">
      <c r="A650" s="334"/>
      <c r="B650" s="334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</row>
    <row r="651">
      <c r="A651" s="334"/>
      <c r="B651" s="334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</row>
    <row r="652">
      <c r="A652" s="334"/>
      <c r="B652" s="334"/>
      <c r="C652" s="334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334"/>
      <c r="P652" s="334"/>
      <c r="Q652" s="334"/>
      <c r="R652" s="334"/>
      <c r="S652" s="334"/>
    </row>
    <row r="653">
      <c r="A653" s="334"/>
      <c r="B653" s="334"/>
      <c r="C653" s="334"/>
      <c r="D653" s="334"/>
      <c r="E653" s="334"/>
      <c r="F653" s="334"/>
      <c r="G653" s="334"/>
      <c r="H653" s="334"/>
      <c r="I653" s="334"/>
      <c r="J653" s="334"/>
      <c r="K653" s="334"/>
      <c r="L653" s="334"/>
      <c r="M653" s="334"/>
      <c r="N653" s="334"/>
      <c r="O653" s="334"/>
      <c r="P653" s="334"/>
      <c r="Q653" s="334"/>
      <c r="R653" s="334"/>
      <c r="S653" s="334"/>
    </row>
    <row r="654">
      <c r="A654" s="334"/>
      <c r="B654" s="334"/>
      <c r="C654" s="334"/>
      <c r="D654" s="334"/>
      <c r="E654" s="334"/>
      <c r="F654" s="334"/>
      <c r="G654" s="334"/>
      <c r="H654" s="334"/>
      <c r="I654" s="334"/>
      <c r="J654" s="334"/>
      <c r="K654" s="334"/>
      <c r="L654" s="334"/>
      <c r="M654" s="334"/>
      <c r="N654" s="334"/>
      <c r="O654" s="334"/>
      <c r="P654" s="334"/>
      <c r="Q654" s="334"/>
      <c r="R654" s="334"/>
      <c r="S654" s="334"/>
    </row>
    <row r="655">
      <c r="A655" s="334"/>
      <c r="B655" s="334"/>
      <c r="C655" s="334"/>
      <c r="D655" s="334"/>
      <c r="E655" s="334"/>
      <c r="F655" s="334"/>
      <c r="G655" s="334"/>
      <c r="H655" s="334"/>
      <c r="I655" s="334"/>
      <c r="J655" s="334"/>
      <c r="K655" s="334"/>
      <c r="L655" s="334"/>
      <c r="M655" s="334"/>
      <c r="N655" s="334"/>
      <c r="O655" s="334"/>
      <c r="P655" s="334"/>
      <c r="Q655" s="334"/>
      <c r="R655" s="334"/>
      <c r="S655" s="334"/>
    </row>
    <row r="656">
      <c r="A656" s="334"/>
      <c r="B656" s="334"/>
      <c r="C656" s="334"/>
      <c r="D656" s="334"/>
      <c r="E656" s="334"/>
      <c r="F656" s="334"/>
      <c r="G656" s="334"/>
      <c r="H656" s="334"/>
      <c r="I656" s="334"/>
      <c r="J656" s="334"/>
      <c r="K656" s="334"/>
      <c r="L656" s="334"/>
      <c r="M656" s="334"/>
      <c r="N656" s="334"/>
      <c r="O656" s="334"/>
      <c r="P656" s="334"/>
      <c r="Q656" s="334"/>
      <c r="R656" s="334"/>
      <c r="S656" s="334"/>
    </row>
    <row r="657">
      <c r="A657" s="334"/>
      <c r="B657" s="334"/>
      <c r="C657" s="334"/>
      <c r="D657" s="334"/>
      <c r="E657" s="334"/>
      <c r="F657" s="334"/>
      <c r="G657" s="334"/>
      <c r="H657" s="334"/>
      <c r="I657" s="334"/>
      <c r="J657" s="334"/>
      <c r="K657" s="334"/>
      <c r="L657" s="334"/>
      <c r="M657" s="334"/>
      <c r="N657" s="334"/>
      <c r="O657" s="334"/>
      <c r="P657" s="334"/>
      <c r="Q657" s="334"/>
      <c r="R657" s="334"/>
      <c r="S657" s="334"/>
    </row>
    <row r="658">
      <c r="A658" s="334"/>
      <c r="B658" s="334"/>
      <c r="C658" s="334"/>
      <c r="D658" s="334"/>
      <c r="E658" s="334"/>
      <c r="F658" s="334"/>
      <c r="G658" s="334"/>
      <c r="H658" s="334"/>
      <c r="I658" s="334"/>
      <c r="J658" s="334"/>
      <c r="K658" s="334"/>
      <c r="L658" s="334"/>
      <c r="M658" s="334"/>
      <c r="N658" s="334"/>
      <c r="O658" s="334"/>
      <c r="P658" s="334"/>
      <c r="Q658" s="334"/>
      <c r="R658" s="334"/>
      <c r="S658" s="334"/>
    </row>
    <row r="659">
      <c r="A659" s="334"/>
      <c r="B659" s="334"/>
      <c r="C659" s="334"/>
      <c r="D659" s="334"/>
      <c r="E659" s="334"/>
      <c r="F659" s="334"/>
      <c r="G659" s="334"/>
      <c r="H659" s="334"/>
      <c r="I659" s="334"/>
      <c r="J659" s="334"/>
      <c r="K659" s="334"/>
      <c r="L659" s="334"/>
      <c r="M659" s="334"/>
      <c r="N659" s="334"/>
      <c r="O659" s="334"/>
      <c r="P659" s="334"/>
      <c r="Q659" s="334"/>
      <c r="R659" s="334"/>
      <c r="S659" s="334"/>
    </row>
    <row r="660">
      <c r="A660" s="334"/>
      <c r="B660" s="334"/>
      <c r="C660" s="334"/>
      <c r="D660" s="334"/>
      <c r="E660" s="334"/>
      <c r="F660" s="334"/>
      <c r="G660" s="334"/>
      <c r="H660" s="334"/>
      <c r="I660" s="334"/>
      <c r="J660" s="334"/>
      <c r="K660" s="334"/>
      <c r="L660" s="334"/>
      <c r="M660" s="334"/>
      <c r="N660" s="334"/>
      <c r="O660" s="334"/>
      <c r="P660" s="334"/>
      <c r="Q660" s="334"/>
      <c r="R660" s="334"/>
      <c r="S660" s="334"/>
    </row>
    <row r="661">
      <c r="A661" s="334"/>
      <c r="B661" s="334"/>
      <c r="C661" s="334"/>
      <c r="D661" s="334"/>
      <c r="E661" s="334"/>
      <c r="F661" s="334"/>
      <c r="G661" s="334"/>
      <c r="H661" s="334"/>
      <c r="I661" s="334"/>
      <c r="J661" s="334"/>
      <c r="K661" s="334"/>
      <c r="L661" s="334"/>
      <c r="M661" s="334"/>
      <c r="N661" s="334"/>
      <c r="O661" s="334"/>
      <c r="P661" s="334"/>
      <c r="Q661" s="334"/>
      <c r="R661" s="334"/>
      <c r="S661" s="334"/>
    </row>
    <row r="662">
      <c r="A662" s="334"/>
      <c r="B662" s="334"/>
      <c r="C662" s="334"/>
      <c r="D662" s="334"/>
      <c r="E662" s="334"/>
      <c r="F662" s="334"/>
      <c r="G662" s="334"/>
      <c r="H662" s="334"/>
      <c r="I662" s="334"/>
      <c r="J662" s="334"/>
      <c r="K662" s="334"/>
      <c r="L662" s="334"/>
      <c r="M662" s="334"/>
      <c r="N662" s="334"/>
      <c r="O662" s="334"/>
      <c r="P662" s="334"/>
      <c r="Q662" s="334"/>
      <c r="R662" s="334"/>
      <c r="S662" s="334"/>
    </row>
    <row r="663">
      <c r="A663" s="334"/>
      <c r="B663" s="334"/>
      <c r="C663" s="334"/>
      <c r="D663" s="334"/>
      <c r="E663" s="334"/>
      <c r="F663" s="334"/>
      <c r="G663" s="334"/>
      <c r="H663" s="334"/>
      <c r="I663" s="334"/>
      <c r="J663" s="334"/>
      <c r="K663" s="334"/>
      <c r="L663" s="334"/>
      <c r="M663" s="334"/>
      <c r="N663" s="334"/>
      <c r="O663" s="334"/>
      <c r="P663" s="334"/>
      <c r="Q663" s="334"/>
      <c r="R663" s="334"/>
      <c r="S663" s="334"/>
    </row>
    <row r="664">
      <c r="A664" s="334"/>
      <c r="B664" s="334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334"/>
      <c r="O664" s="334"/>
      <c r="P664" s="334"/>
      <c r="Q664" s="334"/>
      <c r="R664" s="334"/>
      <c r="S664" s="334"/>
    </row>
    <row r="665">
      <c r="A665" s="334"/>
      <c r="B665" s="334"/>
      <c r="C665" s="334"/>
      <c r="D665" s="334"/>
      <c r="E665" s="334"/>
      <c r="F665" s="334"/>
      <c r="G665" s="334"/>
      <c r="H665" s="334"/>
      <c r="I665" s="334"/>
      <c r="J665" s="334"/>
      <c r="K665" s="334"/>
      <c r="L665" s="334"/>
      <c r="M665" s="334"/>
      <c r="N665" s="334"/>
      <c r="O665" s="334"/>
      <c r="P665" s="334"/>
      <c r="Q665" s="334"/>
      <c r="R665" s="334"/>
      <c r="S665" s="334"/>
    </row>
    <row r="666">
      <c r="A666" s="334"/>
      <c r="B666" s="334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334"/>
      <c r="O666" s="334"/>
      <c r="P666" s="334"/>
      <c r="Q666" s="334"/>
      <c r="R666" s="334"/>
      <c r="S666" s="334"/>
    </row>
    <row r="667">
      <c r="A667" s="334"/>
      <c r="B667" s="334"/>
      <c r="C667" s="334"/>
      <c r="D667" s="334"/>
      <c r="E667" s="334"/>
      <c r="F667" s="334"/>
      <c r="G667" s="334"/>
      <c r="H667" s="334"/>
      <c r="I667" s="334"/>
      <c r="J667" s="334"/>
      <c r="K667" s="334"/>
      <c r="L667" s="334"/>
      <c r="M667" s="334"/>
      <c r="N667" s="334"/>
      <c r="O667" s="334"/>
      <c r="P667" s="334"/>
      <c r="Q667" s="334"/>
      <c r="R667" s="334"/>
      <c r="S667" s="334"/>
    </row>
    <row r="668">
      <c r="A668" s="334"/>
      <c r="B668" s="334"/>
      <c r="C668" s="334"/>
      <c r="D668" s="334"/>
      <c r="E668" s="334"/>
      <c r="F668" s="334"/>
      <c r="G668" s="334"/>
      <c r="H668" s="334"/>
      <c r="I668" s="334"/>
      <c r="J668" s="334"/>
      <c r="K668" s="334"/>
      <c r="L668" s="334"/>
      <c r="M668" s="334"/>
      <c r="N668" s="334"/>
      <c r="O668" s="334"/>
      <c r="P668" s="334"/>
      <c r="Q668" s="334"/>
      <c r="R668" s="334"/>
      <c r="S668" s="334"/>
    </row>
    <row r="669">
      <c r="A669" s="334"/>
      <c r="B669" s="334"/>
      <c r="C669" s="334"/>
      <c r="D669" s="334"/>
      <c r="E669" s="334"/>
      <c r="F669" s="334"/>
      <c r="G669" s="334"/>
      <c r="H669" s="334"/>
      <c r="I669" s="334"/>
      <c r="J669" s="334"/>
      <c r="K669" s="334"/>
      <c r="L669" s="334"/>
      <c r="M669" s="334"/>
      <c r="N669" s="334"/>
      <c r="O669" s="334"/>
      <c r="P669" s="334"/>
      <c r="Q669" s="334"/>
      <c r="R669" s="334"/>
      <c r="S669" s="334"/>
    </row>
    <row r="670">
      <c r="A670" s="334"/>
      <c r="B670" s="334"/>
      <c r="C670" s="334"/>
      <c r="D670" s="334"/>
      <c r="E670" s="334"/>
      <c r="F670" s="334"/>
      <c r="G670" s="334"/>
      <c r="H670" s="334"/>
      <c r="I670" s="334"/>
      <c r="J670" s="334"/>
      <c r="K670" s="334"/>
      <c r="L670" s="334"/>
      <c r="M670" s="334"/>
      <c r="N670" s="334"/>
      <c r="O670" s="334"/>
      <c r="P670" s="334"/>
      <c r="Q670" s="334"/>
      <c r="R670" s="334"/>
      <c r="S670" s="334"/>
    </row>
    <row r="671">
      <c r="A671" s="334"/>
      <c r="B671" s="334"/>
      <c r="C671" s="334"/>
      <c r="D671" s="334"/>
      <c r="E671" s="334"/>
      <c r="F671" s="334"/>
      <c r="G671" s="334"/>
      <c r="H671" s="334"/>
      <c r="I671" s="334"/>
      <c r="J671" s="334"/>
      <c r="K671" s="334"/>
      <c r="L671" s="334"/>
      <c r="M671" s="334"/>
      <c r="N671" s="334"/>
      <c r="O671" s="334"/>
      <c r="P671" s="334"/>
      <c r="Q671" s="334"/>
      <c r="R671" s="334"/>
      <c r="S671" s="334"/>
    </row>
    <row r="672">
      <c r="A672" s="334"/>
      <c r="B672" s="334"/>
      <c r="C672" s="334"/>
      <c r="D672" s="334"/>
      <c r="E672" s="334"/>
      <c r="F672" s="334"/>
      <c r="G672" s="334"/>
      <c r="H672" s="334"/>
      <c r="I672" s="334"/>
      <c r="J672" s="334"/>
      <c r="K672" s="334"/>
      <c r="L672" s="334"/>
      <c r="M672" s="334"/>
      <c r="N672" s="334"/>
      <c r="O672" s="334"/>
      <c r="P672" s="334"/>
      <c r="Q672" s="334"/>
      <c r="R672" s="334"/>
      <c r="S672" s="334"/>
    </row>
    <row r="673">
      <c r="A673" s="334"/>
      <c r="B673" s="334"/>
      <c r="C673" s="334"/>
      <c r="D673" s="334"/>
      <c r="E673" s="334"/>
      <c r="F673" s="334"/>
      <c r="G673" s="334"/>
      <c r="H673" s="334"/>
      <c r="I673" s="334"/>
      <c r="J673" s="334"/>
      <c r="K673" s="334"/>
      <c r="L673" s="334"/>
      <c r="M673" s="334"/>
      <c r="N673" s="334"/>
      <c r="O673" s="334"/>
      <c r="P673" s="334"/>
      <c r="Q673" s="334"/>
      <c r="R673" s="334"/>
      <c r="S673" s="334"/>
    </row>
    <row r="674">
      <c r="A674" s="334"/>
      <c r="B674" s="334"/>
      <c r="C674" s="334"/>
      <c r="D674" s="334"/>
      <c r="E674" s="334"/>
      <c r="F674" s="334"/>
      <c r="G674" s="334"/>
      <c r="H674" s="334"/>
      <c r="I674" s="334"/>
      <c r="J674" s="334"/>
      <c r="K674" s="334"/>
      <c r="L674" s="334"/>
      <c r="M674" s="334"/>
      <c r="N674" s="334"/>
      <c r="O674" s="334"/>
      <c r="P674" s="334"/>
      <c r="Q674" s="334"/>
      <c r="R674" s="334"/>
      <c r="S674" s="334"/>
    </row>
    <row r="675">
      <c r="A675" s="334"/>
      <c r="B675" s="334"/>
      <c r="C675" s="334"/>
      <c r="D675" s="334"/>
      <c r="E675" s="334"/>
      <c r="F675" s="334"/>
      <c r="G675" s="334"/>
      <c r="H675" s="334"/>
      <c r="I675" s="334"/>
      <c r="J675" s="334"/>
      <c r="K675" s="334"/>
      <c r="L675" s="334"/>
      <c r="M675" s="334"/>
      <c r="N675" s="334"/>
      <c r="O675" s="334"/>
      <c r="P675" s="334"/>
      <c r="Q675" s="334"/>
      <c r="R675" s="334"/>
      <c r="S675" s="334"/>
    </row>
    <row r="676">
      <c r="A676" s="334"/>
      <c r="B676" s="334"/>
      <c r="C676" s="334"/>
      <c r="D676" s="334"/>
      <c r="E676" s="334"/>
      <c r="F676" s="334"/>
      <c r="G676" s="334"/>
      <c r="H676" s="334"/>
      <c r="I676" s="334"/>
      <c r="J676" s="334"/>
      <c r="K676" s="334"/>
      <c r="L676" s="334"/>
      <c r="M676" s="334"/>
      <c r="N676" s="334"/>
      <c r="O676" s="334"/>
      <c r="P676" s="334"/>
      <c r="Q676" s="334"/>
      <c r="R676" s="334"/>
      <c r="S676" s="334"/>
    </row>
    <row r="677">
      <c r="A677" s="334"/>
      <c r="B677" s="334"/>
      <c r="C677" s="334"/>
      <c r="D677" s="334"/>
      <c r="E677" s="334"/>
      <c r="F677" s="334"/>
      <c r="G677" s="334"/>
      <c r="H677" s="334"/>
      <c r="I677" s="334"/>
      <c r="J677" s="334"/>
      <c r="K677" s="334"/>
      <c r="L677" s="334"/>
      <c r="M677" s="334"/>
      <c r="N677" s="334"/>
      <c r="O677" s="334"/>
      <c r="P677" s="334"/>
      <c r="Q677" s="334"/>
      <c r="R677" s="334"/>
      <c r="S677" s="334"/>
    </row>
    <row r="678">
      <c r="A678" s="334"/>
      <c r="B678" s="334"/>
      <c r="C678" s="334"/>
      <c r="D678" s="334"/>
      <c r="E678" s="334"/>
      <c r="F678" s="334"/>
      <c r="G678" s="334"/>
      <c r="H678" s="334"/>
      <c r="I678" s="334"/>
      <c r="J678" s="334"/>
      <c r="K678" s="334"/>
      <c r="L678" s="334"/>
      <c r="M678" s="334"/>
      <c r="N678" s="334"/>
      <c r="O678" s="334"/>
      <c r="P678" s="334"/>
      <c r="Q678" s="334"/>
      <c r="R678" s="334"/>
      <c r="S678" s="334"/>
    </row>
    <row r="679">
      <c r="A679" s="334"/>
      <c r="B679" s="334"/>
      <c r="C679" s="334"/>
      <c r="D679" s="334"/>
      <c r="E679" s="334"/>
      <c r="F679" s="334"/>
      <c r="G679" s="334"/>
      <c r="H679" s="334"/>
      <c r="I679" s="334"/>
      <c r="J679" s="334"/>
      <c r="K679" s="334"/>
      <c r="L679" s="334"/>
      <c r="M679" s="334"/>
      <c r="N679" s="334"/>
      <c r="O679" s="334"/>
      <c r="P679" s="334"/>
      <c r="Q679" s="334"/>
      <c r="R679" s="334"/>
      <c r="S679" s="334"/>
    </row>
    <row r="680">
      <c r="A680" s="334"/>
      <c r="B680" s="334"/>
      <c r="C680" s="334"/>
      <c r="D680" s="334"/>
      <c r="E680" s="334"/>
      <c r="F680" s="334"/>
      <c r="G680" s="334"/>
      <c r="H680" s="334"/>
      <c r="I680" s="334"/>
      <c r="J680" s="334"/>
      <c r="K680" s="334"/>
      <c r="L680" s="334"/>
      <c r="M680" s="334"/>
      <c r="N680" s="334"/>
      <c r="O680" s="334"/>
      <c r="P680" s="334"/>
      <c r="Q680" s="334"/>
      <c r="R680" s="334"/>
      <c r="S680" s="334"/>
    </row>
    <row r="681">
      <c r="A681" s="334"/>
      <c r="B681" s="334"/>
      <c r="C681" s="334"/>
      <c r="D681" s="334"/>
      <c r="E681" s="334"/>
      <c r="F681" s="334"/>
      <c r="G681" s="334"/>
      <c r="H681" s="334"/>
      <c r="I681" s="334"/>
      <c r="J681" s="334"/>
      <c r="K681" s="334"/>
      <c r="L681" s="334"/>
      <c r="M681" s="334"/>
      <c r="N681" s="334"/>
      <c r="O681" s="334"/>
      <c r="P681" s="334"/>
      <c r="Q681" s="334"/>
      <c r="R681" s="334"/>
      <c r="S681" s="334"/>
    </row>
    <row r="682">
      <c r="A682" s="334"/>
      <c r="B682" s="334"/>
      <c r="C682" s="334"/>
      <c r="D682" s="334"/>
      <c r="E682" s="334"/>
      <c r="F682" s="334"/>
      <c r="G682" s="334"/>
      <c r="H682" s="334"/>
      <c r="I682" s="334"/>
      <c r="J682" s="334"/>
      <c r="K682" s="334"/>
      <c r="L682" s="334"/>
      <c r="M682" s="334"/>
      <c r="N682" s="334"/>
      <c r="O682" s="334"/>
      <c r="P682" s="334"/>
      <c r="Q682" s="334"/>
      <c r="R682" s="334"/>
      <c r="S682" s="334"/>
    </row>
    <row r="683">
      <c r="A683" s="334"/>
      <c r="B683" s="334"/>
      <c r="C683" s="334"/>
      <c r="D683" s="334"/>
      <c r="E683" s="334"/>
      <c r="F683" s="334"/>
      <c r="G683" s="334"/>
      <c r="H683" s="334"/>
      <c r="I683" s="334"/>
      <c r="J683" s="334"/>
      <c r="K683" s="334"/>
      <c r="L683" s="334"/>
      <c r="M683" s="334"/>
      <c r="N683" s="334"/>
      <c r="O683" s="334"/>
      <c r="P683" s="334"/>
      <c r="Q683" s="334"/>
      <c r="R683" s="334"/>
      <c r="S683" s="334"/>
    </row>
    <row r="684">
      <c r="A684" s="334"/>
      <c r="B684" s="334"/>
      <c r="C684" s="334"/>
      <c r="D684" s="334"/>
      <c r="E684" s="334"/>
      <c r="F684" s="334"/>
      <c r="G684" s="334"/>
      <c r="H684" s="334"/>
      <c r="I684" s="334"/>
      <c r="J684" s="334"/>
      <c r="K684" s="334"/>
      <c r="L684" s="334"/>
      <c r="M684" s="334"/>
      <c r="N684" s="334"/>
      <c r="O684" s="334"/>
      <c r="P684" s="334"/>
      <c r="Q684" s="334"/>
      <c r="R684" s="334"/>
      <c r="S684" s="334"/>
    </row>
    <row r="685">
      <c r="A685" s="334"/>
      <c r="B685" s="334"/>
      <c r="C685" s="334"/>
      <c r="D685" s="334"/>
      <c r="E685" s="334"/>
      <c r="F685" s="334"/>
      <c r="G685" s="334"/>
      <c r="H685" s="334"/>
      <c r="I685" s="334"/>
      <c r="J685" s="334"/>
      <c r="K685" s="334"/>
      <c r="L685" s="334"/>
      <c r="M685" s="334"/>
      <c r="N685" s="334"/>
      <c r="O685" s="334"/>
      <c r="P685" s="334"/>
      <c r="Q685" s="334"/>
      <c r="R685" s="334"/>
      <c r="S685" s="334"/>
    </row>
    <row r="686">
      <c r="A686" s="334"/>
      <c r="B686" s="334"/>
      <c r="C686" s="334"/>
      <c r="D686" s="334"/>
      <c r="E686" s="334"/>
      <c r="F686" s="334"/>
      <c r="G686" s="334"/>
      <c r="H686" s="334"/>
      <c r="I686" s="334"/>
      <c r="J686" s="334"/>
      <c r="K686" s="334"/>
      <c r="L686" s="334"/>
      <c r="M686" s="334"/>
      <c r="N686" s="334"/>
      <c r="O686" s="334"/>
      <c r="P686" s="334"/>
      <c r="Q686" s="334"/>
      <c r="R686" s="334"/>
      <c r="S686" s="334"/>
    </row>
    <row r="687">
      <c r="A687" s="334"/>
      <c r="B687" s="334"/>
      <c r="C687" s="334"/>
      <c r="D687" s="334"/>
      <c r="E687" s="334"/>
      <c r="F687" s="334"/>
      <c r="G687" s="334"/>
      <c r="H687" s="334"/>
      <c r="I687" s="334"/>
      <c r="J687" s="334"/>
      <c r="K687" s="334"/>
      <c r="L687" s="334"/>
      <c r="M687" s="334"/>
      <c r="N687" s="334"/>
      <c r="O687" s="334"/>
      <c r="P687" s="334"/>
      <c r="Q687" s="334"/>
      <c r="R687" s="334"/>
      <c r="S687" s="334"/>
    </row>
    <row r="688">
      <c r="A688" s="334"/>
      <c r="B688" s="334"/>
      <c r="C688" s="334"/>
      <c r="D688" s="334"/>
      <c r="E688" s="334"/>
      <c r="F688" s="334"/>
      <c r="G688" s="334"/>
      <c r="H688" s="334"/>
      <c r="I688" s="334"/>
      <c r="J688" s="334"/>
      <c r="K688" s="334"/>
      <c r="L688" s="334"/>
      <c r="M688" s="334"/>
      <c r="N688" s="334"/>
      <c r="O688" s="334"/>
      <c r="P688" s="334"/>
      <c r="Q688" s="334"/>
      <c r="R688" s="334"/>
      <c r="S688" s="334"/>
    </row>
    <row r="689">
      <c r="A689" s="334"/>
      <c r="B689" s="334"/>
      <c r="C689" s="334"/>
      <c r="D689" s="334"/>
      <c r="E689" s="334"/>
      <c r="F689" s="334"/>
      <c r="G689" s="334"/>
      <c r="H689" s="334"/>
      <c r="I689" s="334"/>
      <c r="J689" s="334"/>
      <c r="K689" s="334"/>
      <c r="L689" s="334"/>
      <c r="M689" s="334"/>
      <c r="N689" s="334"/>
      <c r="O689" s="334"/>
      <c r="P689" s="334"/>
      <c r="Q689" s="334"/>
      <c r="R689" s="334"/>
      <c r="S689" s="334"/>
    </row>
    <row r="690">
      <c r="A690" s="334"/>
      <c r="B690" s="334"/>
      <c r="C690" s="334"/>
      <c r="D690" s="334"/>
      <c r="E690" s="334"/>
      <c r="F690" s="334"/>
      <c r="G690" s="334"/>
      <c r="H690" s="334"/>
      <c r="I690" s="334"/>
      <c r="J690" s="334"/>
      <c r="K690" s="334"/>
      <c r="L690" s="334"/>
      <c r="M690" s="334"/>
      <c r="N690" s="334"/>
      <c r="O690" s="334"/>
      <c r="P690" s="334"/>
      <c r="Q690" s="334"/>
      <c r="R690" s="334"/>
      <c r="S690" s="334"/>
    </row>
    <row r="691">
      <c r="A691" s="334"/>
      <c r="B691" s="334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34"/>
      <c r="O691" s="334"/>
      <c r="P691" s="334"/>
      <c r="Q691" s="334"/>
      <c r="R691" s="334"/>
      <c r="S691" s="334"/>
    </row>
    <row r="692">
      <c r="A692" s="334"/>
      <c r="B692" s="334"/>
      <c r="C692" s="334"/>
      <c r="D692" s="334"/>
      <c r="E692" s="334"/>
      <c r="F692" s="334"/>
      <c r="G692" s="334"/>
      <c r="H692" s="334"/>
      <c r="I692" s="334"/>
      <c r="J692" s="334"/>
      <c r="K692" s="334"/>
      <c r="L692" s="334"/>
      <c r="M692" s="334"/>
      <c r="N692" s="334"/>
      <c r="O692" s="334"/>
      <c r="P692" s="334"/>
      <c r="Q692" s="334"/>
      <c r="R692" s="334"/>
      <c r="S692" s="334"/>
    </row>
    <row r="693">
      <c r="A693" s="334"/>
      <c r="B693" s="334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34"/>
      <c r="O693" s="334"/>
      <c r="P693" s="334"/>
      <c r="Q693" s="334"/>
      <c r="R693" s="334"/>
      <c r="S693" s="334"/>
    </row>
    <row r="694">
      <c r="A694" s="334"/>
      <c r="B694" s="334"/>
      <c r="C694" s="334"/>
      <c r="D694" s="334"/>
      <c r="E694" s="334"/>
      <c r="F694" s="334"/>
      <c r="G694" s="334"/>
      <c r="H694" s="334"/>
      <c r="I694" s="334"/>
      <c r="J694" s="334"/>
      <c r="K694" s="334"/>
      <c r="L694" s="334"/>
      <c r="M694" s="334"/>
      <c r="N694" s="334"/>
      <c r="O694" s="334"/>
      <c r="P694" s="334"/>
      <c r="Q694" s="334"/>
      <c r="R694" s="334"/>
      <c r="S694" s="334"/>
    </row>
    <row r="695">
      <c r="A695" s="334"/>
      <c r="B695" s="334"/>
      <c r="C695" s="334"/>
      <c r="D695" s="334"/>
      <c r="E695" s="334"/>
      <c r="F695" s="334"/>
      <c r="G695" s="334"/>
      <c r="H695" s="334"/>
      <c r="I695" s="334"/>
      <c r="J695" s="334"/>
      <c r="K695" s="334"/>
      <c r="L695" s="334"/>
      <c r="M695" s="334"/>
      <c r="N695" s="334"/>
      <c r="O695" s="334"/>
      <c r="P695" s="334"/>
      <c r="Q695" s="334"/>
      <c r="R695" s="334"/>
      <c r="S695" s="334"/>
    </row>
    <row r="696">
      <c r="A696" s="334"/>
      <c r="B696" s="334"/>
      <c r="C696" s="334"/>
      <c r="D696" s="334"/>
      <c r="E696" s="334"/>
      <c r="F696" s="334"/>
      <c r="G696" s="334"/>
      <c r="H696" s="334"/>
      <c r="I696" s="334"/>
      <c r="J696" s="334"/>
      <c r="K696" s="334"/>
      <c r="L696" s="334"/>
      <c r="M696" s="334"/>
      <c r="N696" s="334"/>
      <c r="O696" s="334"/>
      <c r="P696" s="334"/>
      <c r="Q696" s="334"/>
      <c r="R696" s="334"/>
      <c r="S696" s="334"/>
    </row>
    <row r="697">
      <c r="A697" s="334"/>
      <c r="B697" s="334"/>
      <c r="C697" s="334"/>
      <c r="D697" s="334"/>
      <c r="E697" s="334"/>
      <c r="F697" s="334"/>
      <c r="G697" s="334"/>
      <c r="H697" s="334"/>
      <c r="I697" s="334"/>
      <c r="J697" s="334"/>
      <c r="K697" s="334"/>
      <c r="L697" s="334"/>
      <c r="M697" s="334"/>
      <c r="N697" s="334"/>
      <c r="O697" s="334"/>
      <c r="P697" s="334"/>
      <c r="Q697" s="334"/>
      <c r="R697" s="334"/>
      <c r="S697" s="334"/>
    </row>
    <row r="698">
      <c r="A698" s="334"/>
      <c r="B698" s="334"/>
      <c r="C698" s="334"/>
      <c r="D698" s="334"/>
      <c r="E698" s="334"/>
      <c r="F698" s="334"/>
      <c r="G698" s="334"/>
      <c r="H698" s="334"/>
      <c r="I698" s="334"/>
      <c r="J698" s="334"/>
      <c r="K698" s="334"/>
      <c r="L698" s="334"/>
      <c r="M698" s="334"/>
      <c r="N698" s="334"/>
      <c r="O698" s="334"/>
      <c r="P698" s="334"/>
      <c r="Q698" s="334"/>
      <c r="R698" s="334"/>
      <c r="S698" s="334"/>
    </row>
    <row r="699">
      <c r="A699" s="334"/>
      <c r="B699" s="334"/>
      <c r="C699" s="334"/>
      <c r="D699" s="334"/>
      <c r="E699" s="334"/>
      <c r="F699" s="334"/>
      <c r="G699" s="334"/>
      <c r="H699" s="334"/>
      <c r="I699" s="334"/>
      <c r="J699" s="334"/>
      <c r="K699" s="334"/>
      <c r="L699" s="334"/>
      <c r="M699" s="334"/>
      <c r="N699" s="334"/>
      <c r="O699" s="334"/>
      <c r="P699" s="334"/>
      <c r="Q699" s="334"/>
      <c r="R699" s="334"/>
      <c r="S699" s="334"/>
    </row>
    <row r="700">
      <c r="A700" s="334"/>
      <c r="B700" s="334"/>
      <c r="C700" s="334"/>
      <c r="D700" s="334"/>
      <c r="E700" s="334"/>
      <c r="F700" s="334"/>
      <c r="G700" s="334"/>
      <c r="H700" s="334"/>
      <c r="I700" s="334"/>
      <c r="J700" s="334"/>
      <c r="K700" s="334"/>
      <c r="L700" s="334"/>
      <c r="M700" s="334"/>
      <c r="N700" s="334"/>
      <c r="O700" s="334"/>
      <c r="P700" s="334"/>
      <c r="Q700" s="334"/>
      <c r="R700" s="334"/>
      <c r="S700" s="334"/>
    </row>
    <row r="701">
      <c r="A701" s="334"/>
      <c r="B701" s="334"/>
      <c r="C701" s="334"/>
      <c r="D701" s="334"/>
      <c r="E701" s="334"/>
      <c r="F701" s="334"/>
      <c r="G701" s="334"/>
      <c r="H701" s="334"/>
      <c r="I701" s="334"/>
      <c r="J701" s="334"/>
      <c r="K701" s="334"/>
      <c r="L701" s="334"/>
      <c r="M701" s="334"/>
      <c r="N701" s="334"/>
      <c r="O701" s="334"/>
      <c r="P701" s="334"/>
      <c r="Q701" s="334"/>
      <c r="R701" s="334"/>
      <c r="S701" s="334"/>
    </row>
    <row r="702">
      <c r="A702" s="334"/>
      <c r="B702" s="334"/>
      <c r="C702" s="334"/>
      <c r="D702" s="334"/>
      <c r="E702" s="334"/>
      <c r="F702" s="334"/>
      <c r="G702" s="334"/>
      <c r="H702" s="334"/>
      <c r="I702" s="334"/>
      <c r="J702" s="334"/>
      <c r="K702" s="334"/>
      <c r="L702" s="334"/>
      <c r="M702" s="334"/>
      <c r="N702" s="334"/>
      <c r="O702" s="334"/>
      <c r="P702" s="334"/>
      <c r="Q702" s="334"/>
      <c r="R702" s="334"/>
      <c r="S702" s="334"/>
    </row>
    <row r="703">
      <c r="A703" s="334"/>
      <c r="B703" s="334"/>
      <c r="C703" s="334"/>
      <c r="D703" s="334"/>
      <c r="E703" s="334"/>
      <c r="F703" s="334"/>
      <c r="G703" s="334"/>
      <c r="H703" s="334"/>
      <c r="I703" s="334"/>
      <c r="J703" s="334"/>
      <c r="K703" s="334"/>
      <c r="L703" s="334"/>
      <c r="M703" s="334"/>
      <c r="N703" s="334"/>
      <c r="O703" s="334"/>
      <c r="P703" s="334"/>
      <c r="Q703" s="334"/>
      <c r="R703" s="334"/>
      <c r="S703" s="334"/>
    </row>
    <row r="704">
      <c r="A704" s="334"/>
      <c r="B704" s="334"/>
      <c r="C704" s="334"/>
      <c r="D704" s="334"/>
      <c r="E704" s="334"/>
      <c r="F704" s="334"/>
      <c r="G704" s="334"/>
      <c r="H704" s="334"/>
      <c r="I704" s="334"/>
      <c r="J704" s="334"/>
      <c r="K704" s="334"/>
      <c r="L704" s="334"/>
      <c r="M704" s="334"/>
      <c r="N704" s="334"/>
      <c r="O704" s="334"/>
      <c r="P704" s="334"/>
      <c r="Q704" s="334"/>
      <c r="R704" s="334"/>
      <c r="S704" s="334"/>
    </row>
    <row r="705">
      <c r="A705" s="334"/>
      <c r="B705" s="334"/>
      <c r="C705" s="334"/>
      <c r="D705" s="334"/>
      <c r="E705" s="334"/>
      <c r="F705" s="334"/>
      <c r="G705" s="334"/>
      <c r="H705" s="334"/>
      <c r="I705" s="334"/>
      <c r="J705" s="334"/>
      <c r="K705" s="334"/>
      <c r="L705" s="334"/>
      <c r="M705" s="334"/>
      <c r="N705" s="334"/>
      <c r="O705" s="334"/>
      <c r="P705" s="334"/>
      <c r="Q705" s="334"/>
      <c r="R705" s="334"/>
      <c r="S705" s="334"/>
    </row>
    <row r="706">
      <c r="A706" s="334"/>
      <c r="B706" s="334"/>
      <c r="C706" s="334"/>
      <c r="D706" s="334"/>
      <c r="E706" s="334"/>
      <c r="F706" s="334"/>
      <c r="G706" s="334"/>
      <c r="H706" s="334"/>
      <c r="I706" s="334"/>
      <c r="J706" s="334"/>
      <c r="K706" s="334"/>
      <c r="L706" s="334"/>
      <c r="M706" s="334"/>
      <c r="N706" s="334"/>
      <c r="O706" s="334"/>
      <c r="P706" s="334"/>
      <c r="Q706" s="334"/>
      <c r="R706" s="334"/>
      <c r="S706" s="334"/>
    </row>
    <row r="707">
      <c r="A707" s="334"/>
      <c r="B707" s="334"/>
      <c r="C707" s="334"/>
      <c r="D707" s="334"/>
      <c r="E707" s="334"/>
      <c r="F707" s="334"/>
      <c r="G707" s="334"/>
      <c r="H707" s="334"/>
      <c r="I707" s="334"/>
      <c r="J707" s="334"/>
      <c r="K707" s="334"/>
      <c r="L707" s="334"/>
      <c r="M707" s="334"/>
      <c r="N707" s="334"/>
      <c r="O707" s="334"/>
      <c r="P707" s="334"/>
      <c r="Q707" s="334"/>
      <c r="R707" s="334"/>
      <c r="S707" s="334"/>
    </row>
    <row r="708">
      <c r="A708" s="334"/>
      <c r="B708" s="334"/>
      <c r="C708" s="334"/>
      <c r="D708" s="334"/>
      <c r="E708" s="334"/>
      <c r="F708" s="334"/>
      <c r="G708" s="334"/>
      <c r="H708" s="334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</row>
    <row r="709">
      <c r="A709" s="334"/>
      <c r="B709" s="334"/>
      <c r="C709" s="334"/>
      <c r="D709" s="334"/>
      <c r="E709" s="334"/>
      <c r="F709" s="334"/>
      <c r="G709" s="334"/>
      <c r="H709" s="334"/>
      <c r="I709" s="334"/>
      <c r="J709" s="334"/>
      <c r="K709" s="334"/>
      <c r="L709" s="334"/>
      <c r="M709" s="334"/>
      <c r="N709" s="334"/>
      <c r="O709" s="334"/>
      <c r="P709" s="334"/>
      <c r="Q709" s="334"/>
      <c r="R709" s="334"/>
      <c r="S709" s="334"/>
    </row>
    <row r="710">
      <c r="A710" s="334"/>
      <c r="B710" s="334"/>
      <c r="C710" s="334"/>
      <c r="D710" s="334"/>
      <c r="E710" s="334"/>
      <c r="F710" s="334"/>
      <c r="G710" s="334"/>
      <c r="H710" s="334"/>
      <c r="I710" s="334"/>
      <c r="J710" s="334"/>
      <c r="K710" s="334"/>
      <c r="L710" s="334"/>
      <c r="M710" s="334"/>
      <c r="N710" s="334"/>
      <c r="O710" s="334"/>
      <c r="P710" s="334"/>
      <c r="Q710" s="334"/>
      <c r="R710" s="334"/>
      <c r="S710" s="334"/>
    </row>
    <row r="711">
      <c r="A711" s="334"/>
      <c r="B711" s="334"/>
      <c r="C711" s="334"/>
      <c r="D711" s="334"/>
      <c r="E711" s="334"/>
      <c r="F711" s="334"/>
      <c r="G711" s="334"/>
      <c r="H711" s="334"/>
      <c r="I711" s="334"/>
      <c r="J711" s="334"/>
      <c r="K711" s="334"/>
      <c r="L711" s="334"/>
      <c r="M711" s="334"/>
      <c r="N711" s="334"/>
      <c r="O711" s="334"/>
      <c r="P711" s="334"/>
      <c r="Q711" s="334"/>
      <c r="R711" s="334"/>
      <c r="S711" s="334"/>
    </row>
    <row r="712">
      <c r="A712" s="334"/>
      <c r="B712" s="334"/>
      <c r="C712" s="334"/>
      <c r="D712" s="334"/>
      <c r="E712" s="334"/>
      <c r="F712" s="334"/>
      <c r="G712" s="334"/>
      <c r="H712" s="334"/>
      <c r="I712" s="334"/>
      <c r="J712" s="334"/>
      <c r="K712" s="334"/>
      <c r="L712" s="334"/>
      <c r="M712" s="334"/>
      <c r="N712" s="334"/>
      <c r="O712" s="334"/>
      <c r="P712" s="334"/>
      <c r="Q712" s="334"/>
      <c r="R712" s="334"/>
      <c r="S712" s="334"/>
    </row>
    <row r="713">
      <c r="A713" s="334"/>
      <c r="B713" s="334"/>
      <c r="C713" s="334"/>
      <c r="D713" s="334"/>
      <c r="E713" s="334"/>
      <c r="F713" s="334"/>
      <c r="G713" s="334"/>
      <c r="H713" s="334"/>
      <c r="I713" s="334"/>
      <c r="J713" s="334"/>
      <c r="K713" s="334"/>
      <c r="L713" s="334"/>
      <c r="M713" s="334"/>
      <c r="N713" s="334"/>
      <c r="O713" s="334"/>
      <c r="P713" s="334"/>
      <c r="Q713" s="334"/>
      <c r="R713" s="334"/>
      <c r="S713" s="334"/>
    </row>
    <row r="714">
      <c r="A714" s="334"/>
      <c r="B714" s="334"/>
      <c r="C714" s="334"/>
      <c r="D714" s="334"/>
      <c r="E714" s="334"/>
      <c r="F714" s="334"/>
      <c r="G714" s="334"/>
      <c r="H714" s="334"/>
      <c r="I714" s="334"/>
      <c r="J714" s="334"/>
      <c r="K714" s="334"/>
      <c r="L714" s="334"/>
      <c r="M714" s="334"/>
      <c r="N714" s="334"/>
      <c r="O714" s="334"/>
      <c r="P714" s="334"/>
      <c r="Q714" s="334"/>
      <c r="R714" s="334"/>
      <c r="S714" s="334"/>
    </row>
    <row r="715">
      <c r="A715" s="334"/>
      <c r="B715" s="334"/>
      <c r="C715" s="334"/>
      <c r="D715" s="334"/>
      <c r="E715" s="334"/>
      <c r="F715" s="334"/>
      <c r="G715" s="334"/>
      <c r="H715" s="334"/>
      <c r="I715" s="334"/>
      <c r="J715" s="334"/>
      <c r="K715" s="334"/>
      <c r="L715" s="334"/>
      <c r="M715" s="334"/>
      <c r="N715" s="334"/>
      <c r="O715" s="334"/>
      <c r="P715" s="334"/>
      <c r="Q715" s="334"/>
      <c r="R715" s="334"/>
      <c r="S715" s="334"/>
    </row>
    <row r="716">
      <c r="A716" s="334"/>
      <c r="B716" s="334"/>
      <c r="C716" s="334"/>
      <c r="D716" s="334"/>
      <c r="E716" s="334"/>
      <c r="F716" s="334"/>
      <c r="G716" s="334"/>
      <c r="H716" s="334"/>
      <c r="I716" s="334"/>
      <c r="J716" s="334"/>
      <c r="K716" s="334"/>
      <c r="L716" s="334"/>
      <c r="M716" s="334"/>
      <c r="N716" s="334"/>
      <c r="O716" s="334"/>
      <c r="P716" s="334"/>
      <c r="Q716" s="334"/>
      <c r="R716" s="334"/>
      <c r="S716" s="334"/>
    </row>
    <row r="717">
      <c r="A717" s="334"/>
      <c r="B717" s="334"/>
      <c r="C717" s="334"/>
      <c r="D717" s="334"/>
      <c r="E717" s="334"/>
      <c r="F717" s="334"/>
      <c r="G717" s="334"/>
      <c r="H717" s="334"/>
      <c r="I717" s="334"/>
      <c r="J717" s="334"/>
      <c r="K717" s="334"/>
      <c r="L717" s="334"/>
      <c r="M717" s="334"/>
      <c r="N717" s="334"/>
      <c r="O717" s="334"/>
      <c r="P717" s="334"/>
      <c r="Q717" s="334"/>
      <c r="R717" s="334"/>
      <c r="S717" s="334"/>
    </row>
    <row r="718">
      <c r="A718" s="334"/>
      <c r="B718" s="334"/>
      <c r="C718" s="334"/>
      <c r="D718" s="334"/>
      <c r="E718" s="334"/>
      <c r="F718" s="334"/>
      <c r="G718" s="334"/>
      <c r="H718" s="334"/>
      <c r="I718" s="334"/>
      <c r="J718" s="334"/>
      <c r="K718" s="334"/>
      <c r="L718" s="334"/>
      <c r="M718" s="334"/>
      <c r="N718" s="334"/>
      <c r="O718" s="334"/>
      <c r="P718" s="334"/>
      <c r="Q718" s="334"/>
      <c r="R718" s="334"/>
      <c r="S718" s="334"/>
    </row>
    <row r="719">
      <c r="A719" s="334"/>
      <c r="B719" s="334"/>
      <c r="C719" s="334"/>
      <c r="D719" s="334"/>
      <c r="E719" s="334"/>
      <c r="F719" s="334"/>
      <c r="G719" s="334"/>
      <c r="H719" s="334"/>
      <c r="I719" s="334"/>
      <c r="J719" s="334"/>
      <c r="K719" s="334"/>
      <c r="L719" s="334"/>
      <c r="M719" s="334"/>
      <c r="N719" s="334"/>
      <c r="O719" s="334"/>
      <c r="P719" s="334"/>
      <c r="Q719" s="334"/>
      <c r="R719" s="334"/>
      <c r="S719" s="334"/>
    </row>
    <row r="720">
      <c r="A720" s="334"/>
      <c r="B720" s="334"/>
      <c r="C720" s="334"/>
      <c r="D720" s="334"/>
      <c r="E720" s="334"/>
      <c r="F720" s="334"/>
      <c r="G720" s="334"/>
      <c r="H720" s="334"/>
      <c r="I720" s="334"/>
      <c r="J720" s="334"/>
      <c r="K720" s="334"/>
      <c r="L720" s="334"/>
      <c r="M720" s="334"/>
      <c r="N720" s="334"/>
      <c r="O720" s="334"/>
      <c r="P720" s="334"/>
      <c r="Q720" s="334"/>
      <c r="R720" s="334"/>
      <c r="S720" s="334"/>
    </row>
    <row r="721">
      <c r="A721" s="334"/>
      <c r="B721" s="334"/>
      <c r="C721" s="334"/>
      <c r="D721" s="334"/>
      <c r="E721" s="334"/>
      <c r="F721" s="334"/>
      <c r="G721" s="334"/>
      <c r="H721" s="334"/>
      <c r="I721" s="334"/>
      <c r="J721" s="334"/>
      <c r="K721" s="334"/>
      <c r="L721" s="334"/>
      <c r="M721" s="334"/>
      <c r="N721" s="334"/>
      <c r="O721" s="334"/>
      <c r="P721" s="334"/>
      <c r="Q721" s="334"/>
      <c r="R721" s="334"/>
      <c r="S721" s="334"/>
    </row>
    <row r="722">
      <c r="A722" s="334"/>
      <c r="B722" s="334"/>
      <c r="C722" s="334"/>
      <c r="D722" s="334"/>
      <c r="E722" s="334"/>
      <c r="F722" s="334"/>
      <c r="G722" s="334"/>
      <c r="H722" s="334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</row>
    <row r="723">
      <c r="A723" s="334"/>
      <c r="B723" s="334"/>
      <c r="C723" s="334"/>
      <c r="D723" s="334"/>
      <c r="E723" s="334"/>
      <c r="F723" s="334"/>
      <c r="G723" s="334"/>
      <c r="H723" s="334"/>
      <c r="I723" s="334"/>
      <c r="J723" s="334"/>
      <c r="K723" s="334"/>
      <c r="L723" s="334"/>
      <c r="M723" s="334"/>
      <c r="N723" s="334"/>
      <c r="O723" s="334"/>
      <c r="P723" s="334"/>
      <c r="Q723" s="334"/>
      <c r="R723" s="334"/>
      <c r="S723" s="334"/>
    </row>
    <row r="724">
      <c r="A724" s="334"/>
      <c r="B724" s="334"/>
      <c r="C724" s="334"/>
      <c r="D724" s="334"/>
      <c r="E724" s="334"/>
      <c r="F724" s="334"/>
      <c r="G724" s="334"/>
      <c r="H724" s="334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</row>
    <row r="725">
      <c r="A725" s="334"/>
      <c r="B725" s="334"/>
      <c r="C725" s="334"/>
      <c r="D725" s="334"/>
      <c r="E725" s="334"/>
      <c r="F725" s="334"/>
      <c r="G725" s="334"/>
      <c r="H725" s="334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</row>
    <row r="726">
      <c r="A726" s="334"/>
      <c r="B726" s="334"/>
      <c r="C726" s="334"/>
      <c r="D726" s="334"/>
      <c r="E726" s="334"/>
      <c r="F726" s="334"/>
      <c r="G726" s="334"/>
      <c r="H726" s="334"/>
      <c r="I726" s="334"/>
      <c r="J726" s="334"/>
      <c r="K726" s="334"/>
      <c r="L726" s="334"/>
      <c r="M726" s="334"/>
      <c r="N726" s="334"/>
      <c r="O726" s="334"/>
      <c r="P726" s="334"/>
      <c r="Q726" s="334"/>
      <c r="R726" s="334"/>
      <c r="S726" s="334"/>
    </row>
    <row r="727">
      <c r="A727" s="334"/>
      <c r="B727" s="334"/>
      <c r="C727" s="334"/>
      <c r="D727" s="334"/>
      <c r="E727" s="334"/>
      <c r="F727" s="334"/>
      <c r="G727" s="334"/>
      <c r="H727" s="334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</row>
    <row r="728">
      <c r="A728" s="334"/>
      <c r="B728" s="334"/>
      <c r="C728" s="334"/>
      <c r="D728" s="334"/>
      <c r="E728" s="334"/>
      <c r="F728" s="334"/>
      <c r="G728" s="334"/>
      <c r="H728" s="334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</row>
    <row r="729">
      <c r="A729" s="334"/>
      <c r="B729" s="334"/>
      <c r="C729" s="334"/>
      <c r="D729" s="334"/>
      <c r="E729" s="334"/>
      <c r="F729" s="334"/>
      <c r="G729" s="334"/>
      <c r="H729" s="334"/>
      <c r="I729" s="334"/>
      <c r="J729" s="334"/>
      <c r="K729" s="334"/>
      <c r="L729" s="334"/>
      <c r="M729" s="334"/>
      <c r="N729" s="334"/>
      <c r="O729" s="334"/>
      <c r="P729" s="334"/>
      <c r="Q729" s="334"/>
      <c r="R729" s="334"/>
      <c r="S729" s="334"/>
    </row>
    <row r="730">
      <c r="A730" s="334"/>
      <c r="B730" s="334"/>
      <c r="C730" s="334"/>
      <c r="D730" s="334"/>
      <c r="E730" s="334"/>
      <c r="F730" s="334"/>
      <c r="G730" s="334"/>
      <c r="H730" s="334"/>
      <c r="I730" s="334"/>
      <c r="J730" s="334"/>
      <c r="K730" s="334"/>
      <c r="L730" s="334"/>
      <c r="M730" s="334"/>
      <c r="N730" s="334"/>
      <c r="O730" s="334"/>
      <c r="P730" s="334"/>
      <c r="Q730" s="334"/>
      <c r="R730" s="334"/>
      <c r="S730" s="334"/>
    </row>
    <row r="731">
      <c r="A731" s="334"/>
      <c r="B731" s="334"/>
      <c r="C731" s="334"/>
      <c r="D731" s="334"/>
      <c r="E731" s="334"/>
      <c r="F731" s="334"/>
      <c r="G731" s="334"/>
      <c r="H731" s="334"/>
      <c r="I731" s="334"/>
      <c r="J731" s="334"/>
      <c r="K731" s="334"/>
      <c r="L731" s="334"/>
      <c r="M731" s="334"/>
      <c r="N731" s="334"/>
      <c r="O731" s="334"/>
      <c r="P731" s="334"/>
      <c r="Q731" s="334"/>
      <c r="R731" s="334"/>
      <c r="S731" s="334"/>
    </row>
    <row r="732">
      <c r="A732" s="334"/>
      <c r="B732" s="334"/>
      <c r="C732" s="334"/>
      <c r="D732" s="334"/>
      <c r="E732" s="334"/>
      <c r="F732" s="334"/>
      <c r="G732" s="334"/>
      <c r="H732" s="334"/>
      <c r="I732" s="334"/>
      <c r="J732" s="334"/>
      <c r="K732" s="334"/>
      <c r="L732" s="334"/>
      <c r="M732" s="334"/>
      <c r="N732" s="334"/>
      <c r="O732" s="334"/>
      <c r="P732" s="334"/>
      <c r="Q732" s="334"/>
      <c r="R732" s="334"/>
      <c r="S732" s="334"/>
    </row>
    <row r="733">
      <c r="A733" s="334"/>
      <c r="B733" s="334"/>
      <c r="C733" s="334"/>
      <c r="D733" s="334"/>
      <c r="E733" s="334"/>
      <c r="F733" s="334"/>
      <c r="G733" s="334"/>
      <c r="H733" s="334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</row>
    <row r="734">
      <c r="A734" s="334"/>
      <c r="B734" s="334"/>
      <c r="C734" s="334"/>
      <c r="D734" s="334"/>
      <c r="E734" s="334"/>
      <c r="F734" s="334"/>
      <c r="G734" s="334"/>
      <c r="H734" s="334"/>
      <c r="I734" s="334"/>
      <c r="J734" s="334"/>
      <c r="K734" s="334"/>
      <c r="L734" s="334"/>
      <c r="M734" s="334"/>
      <c r="N734" s="334"/>
      <c r="O734" s="334"/>
      <c r="P734" s="334"/>
      <c r="Q734" s="334"/>
      <c r="R734" s="334"/>
      <c r="S734" s="334"/>
    </row>
    <row r="735">
      <c r="A735" s="334"/>
      <c r="B735" s="334"/>
      <c r="C735" s="334"/>
      <c r="D735" s="334"/>
      <c r="E735" s="334"/>
      <c r="F735" s="334"/>
      <c r="G735" s="334"/>
      <c r="H735" s="334"/>
      <c r="I735" s="334"/>
      <c r="J735" s="334"/>
      <c r="K735" s="334"/>
      <c r="L735" s="334"/>
      <c r="M735" s="334"/>
      <c r="N735" s="334"/>
      <c r="O735" s="334"/>
      <c r="P735" s="334"/>
      <c r="Q735" s="334"/>
      <c r="R735" s="334"/>
      <c r="S735" s="334"/>
    </row>
    <row r="736">
      <c r="A736" s="334"/>
      <c r="B736" s="334"/>
      <c r="C736" s="334"/>
      <c r="D736" s="334"/>
      <c r="E736" s="334"/>
      <c r="F736" s="334"/>
      <c r="G736" s="334"/>
      <c r="H736" s="334"/>
      <c r="I736" s="334"/>
      <c r="J736" s="334"/>
      <c r="K736" s="334"/>
      <c r="L736" s="334"/>
      <c r="M736" s="334"/>
      <c r="N736" s="334"/>
      <c r="O736" s="334"/>
      <c r="P736" s="334"/>
      <c r="Q736" s="334"/>
      <c r="R736" s="334"/>
      <c r="S736" s="334"/>
    </row>
    <row r="737">
      <c r="A737" s="334"/>
      <c r="B737" s="334"/>
      <c r="C737" s="334"/>
      <c r="D737" s="334"/>
      <c r="E737" s="334"/>
      <c r="F737" s="334"/>
      <c r="G737" s="334"/>
      <c r="H737" s="334"/>
      <c r="I737" s="334"/>
      <c r="J737" s="334"/>
      <c r="K737" s="334"/>
      <c r="L737" s="334"/>
      <c r="M737" s="334"/>
      <c r="N737" s="334"/>
      <c r="O737" s="334"/>
      <c r="P737" s="334"/>
      <c r="Q737" s="334"/>
      <c r="R737" s="334"/>
      <c r="S737" s="334"/>
    </row>
    <row r="738">
      <c r="A738" s="334"/>
      <c r="B738" s="334"/>
      <c r="C738" s="334"/>
      <c r="D738" s="334"/>
      <c r="E738" s="334"/>
      <c r="F738" s="334"/>
      <c r="G738" s="334"/>
      <c r="H738" s="334"/>
      <c r="I738" s="334"/>
      <c r="J738" s="334"/>
      <c r="K738" s="334"/>
      <c r="L738" s="334"/>
      <c r="M738" s="334"/>
      <c r="N738" s="334"/>
      <c r="O738" s="334"/>
      <c r="P738" s="334"/>
      <c r="Q738" s="334"/>
      <c r="R738" s="334"/>
      <c r="S738" s="334"/>
    </row>
    <row r="739">
      <c r="A739" s="334"/>
      <c r="B739" s="334"/>
      <c r="C739" s="334"/>
      <c r="D739" s="334"/>
      <c r="E739" s="334"/>
      <c r="F739" s="334"/>
      <c r="G739" s="334"/>
      <c r="H739" s="334"/>
      <c r="I739" s="334"/>
      <c r="J739" s="334"/>
      <c r="K739" s="334"/>
      <c r="L739" s="334"/>
      <c r="M739" s="334"/>
      <c r="N739" s="334"/>
      <c r="O739" s="334"/>
      <c r="P739" s="334"/>
      <c r="Q739" s="334"/>
      <c r="R739" s="334"/>
      <c r="S739" s="334"/>
    </row>
    <row r="740">
      <c r="A740" s="334"/>
      <c r="B740" s="334"/>
      <c r="C740" s="334"/>
      <c r="D740" s="334"/>
      <c r="E740" s="334"/>
      <c r="F740" s="334"/>
      <c r="G740" s="334"/>
      <c r="H740" s="334"/>
      <c r="I740" s="334"/>
      <c r="J740" s="334"/>
      <c r="K740" s="334"/>
      <c r="L740" s="334"/>
      <c r="M740" s="334"/>
      <c r="N740" s="334"/>
      <c r="O740" s="334"/>
      <c r="P740" s="334"/>
      <c r="Q740" s="334"/>
      <c r="R740" s="334"/>
      <c r="S740" s="334"/>
    </row>
    <row r="741">
      <c r="A741" s="334"/>
      <c r="B741" s="334"/>
      <c r="C741" s="334"/>
      <c r="D741" s="334"/>
      <c r="E741" s="334"/>
      <c r="F741" s="334"/>
      <c r="G741" s="334"/>
      <c r="H741" s="334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</row>
    <row r="742">
      <c r="A742" s="334"/>
      <c r="B742" s="334"/>
      <c r="C742" s="334"/>
      <c r="D742" s="334"/>
      <c r="E742" s="334"/>
      <c r="F742" s="334"/>
      <c r="G742" s="334"/>
      <c r="H742" s="334"/>
      <c r="I742" s="334"/>
      <c r="J742" s="334"/>
      <c r="K742" s="334"/>
      <c r="L742" s="334"/>
      <c r="M742" s="334"/>
      <c r="N742" s="334"/>
      <c r="O742" s="334"/>
      <c r="P742" s="334"/>
      <c r="Q742" s="334"/>
      <c r="R742" s="334"/>
      <c r="S742" s="334"/>
    </row>
    <row r="743">
      <c r="A743" s="334"/>
      <c r="B743" s="334"/>
      <c r="C743" s="334"/>
      <c r="D743" s="334"/>
      <c r="E743" s="334"/>
      <c r="F743" s="334"/>
      <c r="G743" s="334"/>
      <c r="H743" s="334"/>
      <c r="I743" s="334"/>
      <c r="J743" s="334"/>
      <c r="K743" s="334"/>
      <c r="L743" s="334"/>
      <c r="M743" s="334"/>
      <c r="N743" s="334"/>
      <c r="O743" s="334"/>
      <c r="P743" s="334"/>
      <c r="Q743" s="334"/>
      <c r="R743" s="334"/>
      <c r="S743" s="334"/>
    </row>
    <row r="744">
      <c r="A744" s="334"/>
      <c r="B744" s="334"/>
      <c r="C744" s="334"/>
      <c r="D744" s="334"/>
      <c r="E744" s="334"/>
      <c r="F744" s="334"/>
      <c r="G744" s="334"/>
      <c r="H744" s="334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</row>
    <row r="745">
      <c r="A745" s="334"/>
      <c r="B745" s="334"/>
      <c r="C745" s="334"/>
      <c r="D745" s="334"/>
      <c r="E745" s="334"/>
      <c r="F745" s="334"/>
      <c r="G745" s="334"/>
      <c r="H745" s="334"/>
      <c r="I745" s="334"/>
      <c r="J745" s="334"/>
      <c r="K745" s="334"/>
      <c r="L745" s="334"/>
      <c r="M745" s="334"/>
      <c r="N745" s="334"/>
      <c r="O745" s="334"/>
      <c r="P745" s="334"/>
      <c r="Q745" s="334"/>
      <c r="R745" s="334"/>
      <c r="S745" s="334"/>
    </row>
    <row r="746">
      <c r="A746" s="334"/>
      <c r="B746" s="334"/>
      <c r="C746" s="334"/>
      <c r="D746" s="334"/>
      <c r="E746" s="334"/>
      <c r="F746" s="334"/>
      <c r="G746" s="334"/>
      <c r="H746" s="334"/>
      <c r="I746" s="334"/>
      <c r="J746" s="334"/>
      <c r="K746" s="334"/>
      <c r="L746" s="334"/>
      <c r="M746" s="334"/>
      <c r="N746" s="334"/>
      <c r="O746" s="334"/>
      <c r="P746" s="334"/>
      <c r="Q746" s="334"/>
      <c r="R746" s="334"/>
      <c r="S746" s="334"/>
    </row>
    <row r="747">
      <c r="A747" s="334"/>
      <c r="B747" s="334"/>
      <c r="C747" s="334"/>
      <c r="D747" s="334"/>
      <c r="E747" s="334"/>
      <c r="F747" s="334"/>
      <c r="G747" s="334"/>
      <c r="H747" s="334"/>
      <c r="I747" s="334"/>
      <c r="J747" s="334"/>
      <c r="K747" s="334"/>
      <c r="L747" s="334"/>
      <c r="M747" s="334"/>
      <c r="N747" s="334"/>
      <c r="O747" s="334"/>
      <c r="P747" s="334"/>
      <c r="Q747" s="334"/>
      <c r="R747" s="334"/>
      <c r="S747" s="334"/>
    </row>
    <row r="748">
      <c r="A748" s="334"/>
      <c r="B748" s="334"/>
      <c r="C748" s="334"/>
      <c r="D748" s="334"/>
      <c r="E748" s="334"/>
      <c r="F748" s="334"/>
      <c r="G748" s="334"/>
      <c r="H748" s="334"/>
      <c r="I748" s="334"/>
      <c r="J748" s="334"/>
      <c r="K748" s="334"/>
      <c r="L748" s="334"/>
      <c r="M748" s="334"/>
      <c r="N748" s="334"/>
      <c r="O748" s="334"/>
      <c r="P748" s="334"/>
      <c r="Q748" s="334"/>
      <c r="R748" s="334"/>
      <c r="S748" s="334"/>
    </row>
    <row r="749">
      <c r="A749" s="334"/>
      <c r="B749" s="334"/>
      <c r="C749" s="334"/>
      <c r="D749" s="334"/>
      <c r="E749" s="334"/>
      <c r="F749" s="334"/>
      <c r="G749" s="334"/>
      <c r="H749" s="334"/>
      <c r="I749" s="334"/>
      <c r="J749" s="334"/>
      <c r="K749" s="334"/>
      <c r="L749" s="334"/>
      <c r="M749" s="334"/>
      <c r="N749" s="334"/>
      <c r="O749" s="334"/>
      <c r="P749" s="334"/>
      <c r="Q749" s="334"/>
      <c r="R749" s="334"/>
      <c r="S749" s="334"/>
    </row>
    <row r="750">
      <c r="A750" s="334"/>
      <c r="B750" s="334"/>
      <c r="C750" s="334"/>
      <c r="D750" s="334"/>
      <c r="E750" s="334"/>
      <c r="F750" s="334"/>
      <c r="G750" s="334"/>
      <c r="H750" s="334"/>
      <c r="I750" s="334"/>
      <c r="J750" s="334"/>
      <c r="K750" s="334"/>
      <c r="L750" s="334"/>
      <c r="M750" s="334"/>
      <c r="N750" s="334"/>
      <c r="O750" s="334"/>
      <c r="P750" s="334"/>
      <c r="Q750" s="334"/>
      <c r="R750" s="334"/>
      <c r="S750" s="334"/>
    </row>
    <row r="751">
      <c r="A751" s="334"/>
      <c r="B751" s="334"/>
      <c r="C751" s="334"/>
      <c r="D751" s="334"/>
      <c r="E751" s="334"/>
      <c r="F751" s="334"/>
      <c r="G751" s="334"/>
      <c r="H751" s="334"/>
      <c r="I751" s="334"/>
      <c r="J751" s="334"/>
      <c r="K751" s="334"/>
      <c r="L751" s="334"/>
      <c r="M751" s="334"/>
      <c r="N751" s="334"/>
      <c r="O751" s="334"/>
      <c r="P751" s="334"/>
      <c r="Q751" s="334"/>
      <c r="R751" s="334"/>
      <c r="S751" s="334"/>
    </row>
    <row r="752">
      <c r="A752" s="334"/>
      <c r="B752" s="334"/>
      <c r="C752" s="334"/>
      <c r="D752" s="334"/>
      <c r="E752" s="334"/>
      <c r="F752" s="334"/>
      <c r="G752" s="334"/>
      <c r="H752" s="334"/>
      <c r="I752" s="334"/>
      <c r="J752" s="334"/>
      <c r="K752" s="334"/>
      <c r="L752" s="334"/>
      <c r="M752" s="334"/>
      <c r="N752" s="334"/>
      <c r="O752" s="334"/>
      <c r="P752" s="334"/>
      <c r="Q752" s="334"/>
      <c r="R752" s="334"/>
      <c r="S752" s="334"/>
    </row>
    <row r="753">
      <c r="A753" s="334"/>
      <c r="B753" s="334"/>
      <c r="C753" s="334"/>
      <c r="D753" s="334"/>
      <c r="E753" s="334"/>
      <c r="F753" s="334"/>
      <c r="G753" s="334"/>
      <c r="H753" s="334"/>
      <c r="I753" s="334"/>
      <c r="J753" s="334"/>
      <c r="K753" s="334"/>
      <c r="L753" s="334"/>
      <c r="M753" s="334"/>
      <c r="N753" s="334"/>
      <c r="O753" s="334"/>
      <c r="P753" s="334"/>
      <c r="Q753" s="334"/>
      <c r="R753" s="334"/>
      <c r="S753" s="334"/>
    </row>
    <row r="754">
      <c r="A754" s="334"/>
      <c r="B754" s="334"/>
      <c r="C754" s="334"/>
      <c r="D754" s="334"/>
      <c r="E754" s="334"/>
      <c r="F754" s="334"/>
      <c r="G754" s="334"/>
      <c r="H754" s="334"/>
      <c r="I754" s="334"/>
      <c r="J754" s="334"/>
      <c r="K754" s="334"/>
      <c r="L754" s="334"/>
      <c r="M754" s="334"/>
      <c r="N754" s="334"/>
      <c r="O754" s="334"/>
      <c r="P754" s="334"/>
      <c r="Q754" s="334"/>
      <c r="R754" s="334"/>
      <c r="S754" s="334"/>
    </row>
    <row r="755">
      <c r="A755" s="334"/>
      <c r="B755" s="334"/>
      <c r="C755" s="334"/>
      <c r="D755" s="334"/>
      <c r="E755" s="334"/>
      <c r="F755" s="334"/>
      <c r="G755" s="334"/>
      <c r="H755" s="334"/>
      <c r="I755" s="334"/>
      <c r="J755" s="334"/>
      <c r="K755" s="334"/>
      <c r="L755" s="334"/>
      <c r="M755" s="334"/>
      <c r="N755" s="334"/>
      <c r="O755" s="334"/>
      <c r="P755" s="334"/>
      <c r="Q755" s="334"/>
      <c r="R755" s="334"/>
      <c r="S755" s="334"/>
    </row>
    <row r="756">
      <c r="A756" s="334"/>
      <c r="B756" s="334"/>
      <c r="C756" s="334"/>
      <c r="D756" s="334"/>
      <c r="E756" s="334"/>
      <c r="F756" s="334"/>
      <c r="G756" s="334"/>
      <c r="H756" s="334"/>
      <c r="I756" s="334"/>
      <c r="J756" s="334"/>
      <c r="K756" s="334"/>
      <c r="L756" s="334"/>
      <c r="M756" s="334"/>
      <c r="N756" s="334"/>
      <c r="O756" s="334"/>
      <c r="P756" s="334"/>
      <c r="Q756" s="334"/>
      <c r="R756" s="334"/>
      <c r="S756" s="334"/>
    </row>
    <row r="757">
      <c r="A757" s="334"/>
      <c r="B757" s="334"/>
      <c r="C757" s="334"/>
      <c r="D757" s="334"/>
      <c r="E757" s="334"/>
      <c r="F757" s="334"/>
      <c r="G757" s="334"/>
      <c r="H757" s="334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</row>
    <row r="758">
      <c r="A758" s="334"/>
      <c r="B758" s="334"/>
      <c r="C758" s="334"/>
      <c r="D758" s="334"/>
      <c r="E758" s="334"/>
      <c r="F758" s="334"/>
      <c r="G758" s="334"/>
      <c r="H758" s="334"/>
      <c r="I758" s="334"/>
      <c r="J758" s="334"/>
      <c r="K758" s="334"/>
      <c r="L758" s="334"/>
      <c r="M758" s="334"/>
      <c r="N758" s="334"/>
      <c r="O758" s="334"/>
      <c r="P758" s="334"/>
      <c r="Q758" s="334"/>
      <c r="R758" s="334"/>
      <c r="S758" s="334"/>
    </row>
    <row r="759">
      <c r="A759" s="334"/>
      <c r="B759" s="334"/>
      <c r="C759" s="334"/>
      <c r="D759" s="334"/>
      <c r="E759" s="334"/>
      <c r="F759" s="334"/>
      <c r="G759" s="334"/>
      <c r="H759" s="334"/>
      <c r="I759" s="334"/>
      <c r="J759" s="334"/>
      <c r="K759" s="334"/>
      <c r="L759" s="334"/>
      <c r="M759" s="334"/>
      <c r="N759" s="334"/>
      <c r="O759" s="334"/>
      <c r="P759" s="334"/>
      <c r="Q759" s="334"/>
      <c r="R759" s="334"/>
      <c r="S759" s="334"/>
    </row>
    <row r="760">
      <c r="A760" s="334"/>
      <c r="B760" s="334"/>
      <c r="C760" s="334"/>
      <c r="D760" s="334"/>
      <c r="E760" s="334"/>
      <c r="F760" s="334"/>
      <c r="G760" s="334"/>
      <c r="H760" s="334"/>
      <c r="I760" s="334"/>
      <c r="J760" s="334"/>
      <c r="K760" s="334"/>
      <c r="L760" s="334"/>
      <c r="M760" s="334"/>
      <c r="N760" s="334"/>
      <c r="O760" s="334"/>
      <c r="P760" s="334"/>
      <c r="Q760" s="334"/>
      <c r="R760" s="334"/>
      <c r="S760" s="334"/>
    </row>
    <row r="761">
      <c r="A761" s="334"/>
      <c r="B761" s="334"/>
      <c r="C761" s="334"/>
      <c r="D761" s="334"/>
      <c r="E761" s="334"/>
      <c r="F761" s="334"/>
      <c r="G761" s="334"/>
      <c r="H761" s="334"/>
      <c r="I761" s="334"/>
      <c r="J761" s="334"/>
      <c r="K761" s="334"/>
      <c r="L761" s="334"/>
      <c r="M761" s="334"/>
      <c r="N761" s="334"/>
      <c r="O761" s="334"/>
      <c r="P761" s="334"/>
      <c r="Q761" s="334"/>
      <c r="R761" s="334"/>
      <c r="S761" s="334"/>
    </row>
    <row r="762">
      <c r="A762" s="334"/>
      <c r="B762" s="334"/>
      <c r="C762" s="334"/>
      <c r="D762" s="334"/>
      <c r="E762" s="334"/>
      <c r="F762" s="334"/>
      <c r="G762" s="334"/>
      <c r="H762" s="334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</row>
    <row r="763">
      <c r="A763" s="334"/>
      <c r="B763" s="334"/>
      <c r="C763" s="334"/>
      <c r="D763" s="334"/>
      <c r="E763" s="334"/>
      <c r="F763" s="334"/>
      <c r="G763" s="334"/>
      <c r="H763" s="334"/>
      <c r="I763" s="334"/>
      <c r="J763" s="334"/>
      <c r="K763" s="334"/>
      <c r="L763" s="334"/>
      <c r="M763" s="334"/>
      <c r="N763" s="334"/>
      <c r="O763" s="334"/>
      <c r="P763" s="334"/>
      <c r="Q763" s="334"/>
      <c r="R763" s="334"/>
      <c r="S763" s="334"/>
    </row>
    <row r="764">
      <c r="A764" s="334"/>
      <c r="B764" s="334"/>
      <c r="C764" s="334"/>
      <c r="D764" s="334"/>
      <c r="E764" s="334"/>
      <c r="F764" s="334"/>
      <c r="G764" s="334"/>
      <c r="H764" s="334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</row>
    <row r="765">
      <c r="A765" s="334"/>
      <c r="B765" s="334"/>
      <c r="C765" s="334"/>
      <c r="D765" s="334"/>
      <c r="E765" s="334"/>
      <c r="F765" s="334"/>
      <c r="G765" s="334"/>
      <c r="H765" s="334"/>
      <c r="I765" s="334"/>
      <c r="J765" s="334"/>
      <c r="K765" s="334"/>
      <c r="L765" s="334"/>
      <c r="M765" s="334"/>
      <c r="N765" s="334"/>
      <c r="O765" s="334"/>
      <c r="P765" s="334"/>
      <c r="Q765" s="334"/>
      <c r="R765" s="334"/>
      <c r="S765" s="334"/>
    </row>
    <row r="766">
      <c r="A766" s="334"/>
      <c r="B766" s="334"/>
      <c r="C766" s="334"/>
      <c r="D766" s="334"/>
      <c r="E766" s="334"/>
      <c r="F766" s="334"/>
      <c r="G766" s="334"/>
      <c r="H766" s="334"/>
      <c r="I766" s="334"/>
      <c r="J766" s="334"/>
      <c r="K766" s="334"/>
      <c r="L766" s="334"/>
      <c r="M766" s="334"/>
      <c r="N766" s="334"/>
      <c r="O766" s="334"/>
      <c r="P766" s="334"/>
      <c r="Q766" s="334"/>
      <c r="R766" s="334"/>
      <c r="S766" s="334"/>
    </row>
    <row r="767">
      <c r="A767" s="334"/>
      <c r="B767" s="334"/>
      <c r="C767" s="334"/>
      <c r="D767" s="334"/>
      <c r="E767" s="334"/>
      <c r="F767" s="334"/>
      <c r="G767" s="334"/>
      <c r="H767" s="334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</row>
    <row r="768">
      <c r="A768" s="334"/>
      <c r="B768" s="334"/>
      <c r="C768" s="334"/>
      <c r="D768" s="334"/>
      <c r="E768" s="334"/>
      <c r="F768" s="334"/>
      <c r="G768" s="334"/>
      <c r="H768" s="334"/>
      <c r="I768" s="334"/>
      <c r="J768" s="334"/>
      <c r="K768" s="334"/>
      <c r="L768" s="334"/>
      <c r="M768" s="334"/>
      <c r="N768" s="334"/>
      <c r="O768" s="334"/>
      <c r="P768" s="334"/>
      <c r="Q768" s="334"/>
      <c r="R768" s="334"/>
      <c r="S768" s="334"/>
    </row>
    <row r="769">
      <c r="A769" s="334"/>
      <c r="B769" s="334"/>
      <c r="C769" s="334"/>
      <c r="D769" s="334"/>
      <c r="E769" s="334"/>
      <c r="F769" s="334"/>
      <c r="G769" s="334"/>
      <c r="H769" s="334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</row>
    <row r="770">
      <c r="A770" s="334"/>
      <c r="B770" s="334"/>
      <c r="C770" s="334"/>
      <c r="D770" s="334"/>
      <c r="E770" s="334"/>
      <c r="F770" s="334"/>
      <c r="G770" s="334"/>
      <c r="H770" s="334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</row>
    <row r="771">
      <c r="A771" s="334"/>
      <c r="B771" s="334"/>
      <c r="C771" s="334"/>
      <c r="D771" s="334"/>
      <c r="E771" s="334"/>
      <c r="F771" s="334"/>
      <c r="G771" s="334"/>
      <c r="H771" s="334"/>
      <c r="I771" s="334"/>
      <c r="J771" s="334"/>
      <c r="K771" s="334"/>
      <c r="L771" s="334"/>
      <c r="M771" s="334"/>
      <c r="N771" s="334"/>
      <c r="O771" s="334"/>
      <c r="P771" s="334"/>
      <c r="Q771" s="334"/>
      <c r="R771" s="334"/>
      <c r="S771" s="334"/>
    </row>
    <row r="772">
      <c r="A772" s="334"/>
      <c r="B772" s="334"/>
      <c r="C772" s="334"/>
      <c r="D772" s="334"/>
      <c r="E772" s="334"/>
      <c r="F772" s="334"/>
      <c r="G772" s="334"/>
      <c r="H772" s="334"/>
      <c r="I772" s="334"/>
      <c r="J772" s="334"/>
      <c r="K772" s="334"/>
      <c r="L772" s="334"/>
      <c r="M772" s="334"/>
      <c r="N772" s="334"/>
      <c r="O772" s="334"/>
      <c r="P772" s="334"/>
      <c r="Q772" s="334"/>
      <c r="R772" s="334"/>
      <c r="S772" s="334"/>
    </row>
    <row r="773">
      <c r="A773" s="334"/>
      <c r="B773" s="334"/>
      <c r="C773" s="334"/>
      <c r="D773" s="334"/>
      <c r="E773" s="334"/>
      <c r="F773" s="334"/>
      <c r="G773" s="334"/>
      <c r="H773" s="334"/>
      <c r="I773" s="334"/>
      <c r="J773" s="334"/>
      <c r="K773" s="334"/>
      <c r="L773" s="334"/>
      <c r="M773" s="334"/>
      <c r="N773" s="334"/>
      <c r="O773" s="334"/>
      <c r="P773" s="334"/>
      <c r="Q773" s="334"/>
      <c r="R773" s="334"/>
      <c r="S773" s="334"/>
    </row>
    <row r="774">
      <c r="A774" s="334"/>
      <c r="B774" s="334"/>
      <c r="C774" s="334"/>
      <c r="D774" s="334"/>
      <c r="E774" s="334"/>
      <c r="F774" s="334"/>
      <c r="G774" s="334"/>
      <c r="H774" s="334"/>
      <c r="I774" s="334"/>
      <c r="J774" s="334"/>
      <c r="K774" s="334"/>
      <c r="L774" s="334"/>
      <c r="M774" s="334"/>
      <c r="N774" s="334"/>
      <c r="O774" s="334"/>
      <c r="P774" s="334"/>
      <c r="Q774" s="334"/>
      <c r="R774" s="334"/>
      <c r="S774" s="334"/>
    </row>
    <row r="775">
      <c r="A775" s="334"/>
      <c r="B775" s="334"/>
      <c r="C775" s="334"/>
      <c r="D775" s="334"/>
      <c r="E775" s="334"/>
      <c r="F775" s="334"/>
      <c r="G775" s="334"/>
      <c r="H775" s="334"/>
      <c r="I775" s="334"/>
      <c r="J775" s="334"/>
      <c r="K775" s="334"/>
      <c r="L775" s="334"/>
      <c r="M775" s="334"/>
      <c r="N775" s="334"/>
      <c r="O775" s="334"/>
      <c r="P775" s="334"/>
      <c r="Q775" s="334"/>
      <c r="R775" s="334"/>
      <c r="S775" s="334"/>
    </row>
    <row r="776">
      <c r="A776" s="334"/>
      <c r="B776" s="334"/>
      <c r="C776" s="334"/>
      <c r="D776" s="334"/>
      <c r="E776" s="334"/>
      <c r="F776" s="334"/>
      <c r="G776" s="334"/>
      <c r="H776" s="334"/>
      <c r="I776" s="334"/>
      <c r="J776" s="334"/>
      <c r="K776" s="334"/>
      <c r="L776" s="334"/>
      <c r="M776" s="334"/>
      <c r="N776" s="334"/>
      <c r="O776" s="334"/>
      <c r="P776" s="334"/>
      <c r="Q776" s="334"/>
      <c r="R776" s="334"/>
      <c r="S776" s="334"/>
    </row>
    <row r="777">
      <c r="A777" s="334"/>
      <c r="B777" s="334"/>
      <c r="C777" s="334"/>
      <c r="D777" s="334"/>
      <c r="E777" s="334"/>
      <c r="F777" s="334"/>
      <c r="G777" s="334"/>
      <c r="H777" s="334"/>
      <c r="I777" s="334"/>
      <c r="J777" s="334"/>
      <c r="K777" s="334"/>
      <c r="L777" s="334"/>
      <c r="M777" s="334"/>
      <c r="N777" s="334"/>
      <c r="O777" s="334"/>
      <c r="P777" s="334"/>
      <c r="Q777" s="334"/>
      <c r="R777" s="334"/>
      <c r="S777" s="334"/>
    </row>
    <row r="778">
      <c r="A778" s="334"/>
      <c r="B778" s="334"/>
      <c r="C778" s="334"/>
      <c r="D778" s="334"/>
      <c r="E778" s="334"/>
      <c r="F778" s="334"/>
      <c r="G778" s="334"/>
      <c r="H778" s="334"/>
      <c r="I778" s="334"/>
      <c r="J778" s="334"/>
      <c r="K778" s="334"/>
      <c r="L778" s="334"/>
      <c r="M778" s="334"/>
      <c r="N778" s="334"/>
      <c r="O778" s="334"/>
      <c r="P778" s="334"/>
      <c r="Q778" s="334"/>
      <c r="R778" s="334"/>
      <c r="S778" s="334"/>
    </row>
    <row r="779">
      <c r="A779" s="334"/>
      <c r="B779" s="334"/>
      <c r="C779" s="334"/>
      <c r="D779" s="334"/>
      <c r="E779" s="334"/>
      <c r="F779" s="334"/>
      <c r="G779" s="334"/>
      <c r="H779" s="334"/>
      <c r="I779" s="334"/>
      <c r="J779" s="334"/>
      <c r="K779" s="334"/>
      <c r="L779" s="334"/>
      <c r="M779" s="334"/>
      <c r="N779" s="334"/>
      <c r="O779" s="334"/>
      <c r="P779" s="334"/>
      <c r="Q779" s="334"/>
      <c r="R779" s="334"/>
      <c r="S779" s="334"/>
    </row>
    <row r="780">
      <c r="A780" s="334"/>
      <c r="B780" s="334"/>
      <c r="C780" s="334"/>
      <c r="D780" s="334"/>
      <c r="E780" s="334"/>
      <c r="F780" s="334"/>
      <c r="G780" s="334"/>
      <c r="H780" s="334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</row>
    <row r="781">
      <c r="A781" s="334"/>
      <c r="B781" s="334"/>
      <c r="C781" s="334"/>
      <c r="D781" s="334"/>
      <c r="E781" s="334"/>
      <c r="F781" s="334"/>
      <c r="G781" s="334"/>
      <c r="H781" s="334"/>
      <c r="I781" s="334"/>
      <c r="J781" s="334"/>
      <c r="K781" s="334"/>
      <c r="L781" s="334"/>
      <c r="M781" s="334"/>
      <c r="N781" s="334"/>
      <c r="O781" s="334"/>
      <c r="P781" s="334"/>
      <c r="Q781" s="334"/>
      <c r="R781" s="334"/>
      <c r="S781" s="334"/>
    </row>
    <row r="782">
      <c r="A782" s="334"/>
      <c r="B782" s="334"/>
      <c r="C782" s="334"/>
      <c r="D782" s="334"/>
      <c r="E782" s="334"/>
      <c r="F782" s="334"/>
      <c r="G782" s="334"/>
      <c r="H782" s="334"/>
      <c r="I782" s="334"/>
      <c r="J782" s="334"/>
      <c r="K782" s="334"/>
      <c r="L782" s="334"/>
      <c r="M782" s="334"/>
      <c r="N782" s="334"/>
      <c r="O782" s="334"/>
      <c r="P782" s="334"/>
      <c r="Q782" s="334"/>
      <c r="R782" s="334"/>
      <c r="S782" s="334"/>
    </row>
    <row r="783">
      <c r="A783" s="334"/>
      <c r="B783" s="334"/>
      <c r="C783" s="334"/>
      <c r="D783" s="334"/>
      <c r="E783" s="334"/>
      <c r="F783" s="334"/>
      <c r="G783" s="334"/>
      <c r="H783" s="334"/>
      <c r="I783" s="334"/>
      <c r="J783" s="334"/>
      <c r="K783" s="334"/>
      <c r="L783" s="334"/>
      <c r="M783" s="334"/>
      <c r="N783" s="334"/>
      <c r="O783" s="334"/>
      <c r="P783" s="334"/>
      <c r="Q783" s="334"/>
      <c r="R783" s="334"/>
      <c r="S783" s="334"/>
    </row>
    <row r="784">
      <c r="A784" s="334"/>
      <c r="B784" s="334"/>
      <c r="C784" s="334"/>
      <c r="D784" s="334"/>
      <c r="E784" s="334"/>
      <c r="F784" s="334"/>
      <c r="G784" s="334"/>
      <c r="H784" s="334"/>
      <c r="I784" s="334"/>
      <c r="J784" s="334"/>
      <c r="K784" s="334"/>
      <c r="L784" s="334"/>
      <c r="M784" s="334"/>
      <c r="N784" s="334"/>
      <c r="O784" s="334"/>
      <c r="P784" s="334"/>
      <c r="Q784" s="334"/>
      <c r="R784" s="334"/>
      <c r="S784" s="334"/>
    </row>
    <row r="785">
      <c r="A785" s="334"/>
      <c r="B785" s="334"/>
      <c r="C785" s="334"/>
      <c r="D785" s="334"/>
      <c r="E785" s="334"/>
      <c r="F785" s="334"/>
      <c r="G785" s="334"/>
      <c r="H785" s="334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</row>
    <row r="786">
      <c r="A786" s="334"/>
      <c r="B786" s="334"/>
      <c r="C786" s="334"/>
      <c r="D786" s="334"/>
      <c r="E786" s="334"/>
      <c r="F786" s="334"/>
      <c r="G786" s="334"/>
      <c r="H786" s="334"/>
      <c r="I786" s="334"/>
      <c r="J786" s="334"/>
      <c r="K786" s="334"/>
      <c r="L786" s="334"/>
      <c r="M786" s="334"/>
      <c r="N786" s="334"/>
      <c r="O786" s="334"/>
      <c r="P786" s="334"/>
      <c r="Q786" s="334"/>
      <c r="R786" s="334"/>
      <c r="S786" s="334"/>
    </row>
    <row r="787">
      <c r="A787" s="334"/>
      <c r="B787" s="334"/>
      <c r="C787" s="334"/>
      <c r="D787" s="334"/>
      <c r="E787" s="334"/>
      <c r="F787" s="334"/>
      <c r="G787" s="334"/>
      <c r="H787" s="334"/>
      <c r="I787" s="334"/>
      <c r="J787" s="334"/>
      <c r="K787" s="334"/>
      <c r="L787" s="334"/>
      <c r="M787" s="334"/>
      <c r="N787" s="334"/>
      <c r="O787" s="334"/>
      <c r="P787" s="334"/>
      <c r="Q787" s="334"/>
      <c r="R787" s="334"/>
      <c r="S787" s="334"/>
    </row>
    <row r="788">
      <c r="A788" s="334"/>
      <c r="B788" s="334"/>
      <c r="C788" s="334"/>
      <c r="D788" s="334"/>
      <c r="E788" s="334"/>
      <c r="F788" s="334"/>
      <c r="G788" s="334"/>
      <c r="H788" s="334"/>
      <c r="I788" s="334"/>
      <c r="J788" s="334"/>
      <c r="K788" s="334"/>
      <c r="L788" s="334"/>
      <c r="M788" s="334"/>
      <c r="N788" s="334"/>
      <c r="O788" s="334"/>
      <c r="P788" s="334"/>
      <c r="Q788" s="334"/>
      <c r="R788" s="334"/>
      <c r="S788" s="334"/>
    </row>
    <row r="789">
      <c r="A789" s="334"/>
      <c r="B789" s="334"/>
      <c r="C789" s="334"/>
      <c r="D789" s="334"/>
      <c r="E789" s="334"/>
      <c r="F789" s="334"/>
      <c r="G789" s="334"/>
      <c r="H789" s="334"/>
      <c r="I789" s="334"/>
      <c r="J789" s="334"/>
      <c r="K789" s="334"/>
      <c r="L789" s="334"/>
      <c r="M789" s="334"/>
      <c r="N789" s="334"/>
      <c r="O789" s="334"/>
      <c r="P789" s="334"/>
      <c r="Q789" s="334"/>
      <c r="R789" s="334"/>
      <c r="S789" s="334"/>
    </row>
    <row r="790">
      <c r="A790" s="334"/>
      <c r="B790" s="334"/>
      <c r="C790" s="334"/>
      <c r="D790" s="334"/>
      <c r="E790" s="334"/>
      <c r="F790" s="334"/>
      <c r="G790" s="334"/>
      <c r="H790" s="334"/>
      <c r="I790" s="334"/>
      <c r="J790" s="334"/>
      <c r="K790" s="334"/>
      <c r="L790" s="334"/>
      <c r="M790" s="334"/>
      <c r="N790" s="334"/>
      <c r="O790" s="334"/>
      <c r="P790" s="334"/>
      <c r="Q790" s="334"/>
      <c r="R790" s="334"/>
      <c r="S790" s="334"/>
    </row>
    <row r="791">
      <c r="A791" s="334"/>
      <c r="B791" s="334"/>
      <c r="C791" s="334"/>
      <c r="D791" s="334"/>
      <c r="E791" s="334"/>
      <c r="F791" s="334"/>
      <c r="G791" s="334"/>
      <c r="H791" s="334"/>
      <c r="I791" s="334"/>
      <c r="J791" s="334"/>
      <c r="K791" s="334"/>
      <c r="L791" s="334"/>
      <c r="M791" s="334"/>
      <c r="N791" s="334"/>
      <c r="O791" s="334"/>
      <c r="P791" s="334"/>
      <c r="Q791" s="334"/>
      <c r="R791" s="334"/>
      <c r="S791" s="334"/>
    </row>
    <row r="792">
      <c r="A792" s="334"/>
      <c r="B792" s="334"/>
      <c r="C792" s="334"/>
      <c r="D792" s="334"/>
      <c r="E792" s="334"/>
      <c r="F792" s="334"/>
      <c r="G792" s="334"/>
      <c r="H792" s="334"/>
      <c r="I792" s="334"/>
      <c r="J792" s="334"/>
      <c r="K792" s="334"/>
      <c r="L792" s="334"/>
      <c r="M792" s="334"/>
      <c r="N792" s="334"/>
      <c r="O792" s="334"/>
      <c r="P792" s="334"/>
      <c r="Q792" s="334"/>
      <c r="R792" s="334"/>
      <c r="S792" s="334"/>
    </row>
    <row r="793">
      <c r="A793" s="334"/>
      <c r="B793" s="334"/>
      <c r="C793" s="334"/>
      <c r="D793" s="334"/>
      <c r="E793" s="334"/>
      <c r="F793" s="334"/>
      <c r="G793" s="334"/>
      <c r="H793" s="334"/>
      <c r="I793" s="334"/>
      <c r="J793" s="334"/>
      <c r="K793" s="334"/>
      <c r="L793" s="334"/>
      <c r="M793" s="334"/>
      <c r="N793" s="334"/>
      <c r="O793" s="334"/>
      <c r="P793" s="334"/>
      <c r="Q793" s="334"/>
      <c r="R793" s="334"/>
      <c r="S793" s="334"/>
    </row>
    <row r="794">
      <c r="A794" s="334"/>
      <c r="B794" s="334"/>
      <c r="C794" s="334"/>
      <c r="D794" s="334"/>
      <c r="E794" s="334"/>
      <c r="F794" s="334"/>
      <c r="G794" s="334"/>
      <c r="H794" s="334"/>
      <c r="I794" s="334"/>
      <c r="J794" s="334"/>
      <c r="K794" s="334"/>
      <c r="L794" s="334"/>
      <c r="M794" s="334"/>
      <c r="N794" s="334"/>
      <c r="O794" s="334"/>
      <c r="P794" s="334"/>
      <c r="Q794" s="334"/>
      <c r="R794" s="334"/>
      <c r="S794" s="334"/>
    </row>
    <row r="795">
      <c r="A795" s="334"/>
      <c r="B795" s="334"/>
      <c r="C795" s="334"/>
      <c r="D795" s="334"/>
      <c r="E795" s="334"/>
      <c r="F795" s="334"/>
      <c r="G795" s="334"/>
      <c r="H795" s="334"/>
      <c r="I795" s="334"/>
      <c r="J795" s="334"/>
      <c r="K795" s="334"/>
      <c r="L795" s="334"/>
      <c r="M795" s="334"/>
      <c r="N795" s="334"/>
      <c r="O795" s="334"/>
      <c r="P795" s="334"/>
      <c r="Q795" s="334"/>
      <c r="R795" s="334"/>
      <c r="S795" s="334"/>
    </row>
    <row r="796">
      <c r="A796" s="334"/>
      <c r="B796" s="334"/>
      <c r="C796" s="334"/>
      <c r="D796" s="334"/>
      <c r="E796" s="334"/>
      <c r="F796" s="334"/>
      <c r="G796" s="334"/>
      <c r="H796" s="334"/>
      <c r="I796" s="334"/>
      <c r="J796" s="334"/>
      <c r="K796" s="334"/>
      <c r="L796" s="334"/>
      <c r="M796" s="334"/>
      <c r="N796" s="334"/>
      <c r="O796" s="334"/>
      <c r="P796" s="334"/>
      <c r="Q796" s="334"/>
      <c r="R796" s="334"/>
      <c r="S796" s="334"/>
    </row>
    <row r="797">
      <c r="A797" s="334"/>
      <c r="B797" s="334"/>
      <c r="C797" s="334"/>
      <c r="D797" s="334"/>
      <c r="E797" s="334"/>
      <c r="F797" s="334"/>
      <c r="G797" s="334"/>
      <c r="H797" s="334"/>
      <c r="I797" s="334"/>
      <c r="J797" s="334"/>
      <c r="K797" s="334"/>
      <c r="L797" s="334"/>
      <c r="M797" s="334"/>
      <c r="N797" s="334"/>
      <c r="O797" s="334"/>
      <c r="P797" s="334"/>
      <c r="Q797" s="334"/>
      <c r="R797" s="334"/>
      <c r="S797" s="334"/>
    </row>
    <row r="798">
      <c r="A798" s="334"/>
      <c r="B798" s="334"/>
      <c r="C798" s="334"/>
      <c r="D798" s="334"/>
      <c r="E798" s="334"/>
      <c r="F798" s="334"/>
      <c r="G798" s="334"/>
      <c r="H798" s="334"/>
      <c r="I798" s="334"/>
      <c r="J798" s="334"/>
      <c r="K798" s="334"/>
      <c r="L798" s="334"/>
      <c r="M798" s="334"/>
      <c r="N798" s="334"/>
      <c r="O798" s="334"/>
      <c r="P798" s="334"/>
      <c r="Q798" s="334"/>
      <c r="R798" s="334"/>
      <c r="S798" s="334"/>
    </row>
    <row r="799">
      <c r="A799" s="334"/>
      <c r="B799" s="334"/>
      <c r="C799" s="334"/>
      <c r="D799" s="334"/>
      <c r="E799" s="334"/>
      <c r="F799" s="334"/>
      <c r="G799" s="334"/>
      <c r="H799" s="334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</row>
    <row r="800">
      <c r="A800" s="334"/>
      <c r="B800" s="334"/>
      <c r="C800" s="334"/>
      <c r="D800" s="334"/>
      <c r="E800" s="334"/>
      <c r="F800" s="334"/>
      <c r="G800" s="334"/>
      <c r="H800" s="334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</row>
    <row r="801">
      <c r="A801" s="334"/>
      <c r="B801" s="334"/>
      <c r="C801" s="334"/>
      <c r="D801" s="334"/>
      <c r="E801" s="334"/>
      <c r="F801" s="334"/>
      <c r="G801" s="334"/>
      <c r="H801" s="334"/>
      <c r="I801" s="334"/>
      <c r="J801" s="334"/>
      <c r="K801" s="334"/>
      <c r="L801" s="334"/>
      <c r="M801" s="334"/>
      <c r="N801" s="334"/>
      <c r="O801" s="334"/>
      <c r="P801" s="334"/>
      <c r="Q801" s="334"/>
      <c r="R801" s="334"/>
      <c r="S801" s="334"/>
    </row>
    <row r="802">
      <c r="A802" s="334"/>
      <c r="B802" s="334"/>
      <c r="C802" s="334"/>
      <c r="D802" s="334"/>
      <c r="E802" s="334"/>
      <c r="F802" s="334"/>
      <c r="G802" s="334"/>
      <c r="H802" s="334"/>
      <c r="I802" s="334"/>
      <c r="J802" s="334"/>
      <c r="K802" s="334"/>
      <c r="L802" s="334"/>
      <c r="M802" s="334"/>
      <c r="N802" s="334"/>
      <c r="O802" s="334"/>
      <c r="P802" s="334"/>
      <c r="Q802" s="334"/>
      <c r="R802" s="334"/>
      <c r="S802" s="334"/>
    </row>
    <row r="803">
      <c r="A803" s="334"/>
      <c r="B803" s="334"/>
      <c r="C803" s="334"/>
      <c r="D803" s="334"/>
      <c r="E803" s="334"/>
      <c r="F803" s="334"/>
      <c r="G803" s="334"/>
      <c r="H803" s="334"/>
      <c r="I803" s="334"/>
      <c r="J803" s="334"/>
      <c r="K803" s="334"/>
      <c r="L803" s="334"/>
      <c r="M803" s="334"/>
      <c r="N803" s="334"/>
      <c r="O803" s="334"/>
      <c r="P803" s="334"/>
      <c r="Q803" s="334"/>
      <c r="R803" s="334"/>
      <c r="S803" s="334"/>
    </row>
    <row r="804">
      <c r="A804" s="334"/>
      <c r="B804" s="334"/>
      <c r="C804" s="334"/>
      <c r="D804" s="334"/>
      <c r="E804" s="334"/>
      <c r="F804" s="334"/>
      <c r="G804" s="334"/>
      <c r="H804" s="334"/>
      <c r="I804" s="334"/>
      <c r="J804" s="334"/>
      <c r="K804" s="334"/>
      <c r="L804" s="334"/>
      <c r="M804" s="334"/>
      <c r="N804" s="334"/>
      <c r="O804" s="334"/>
      <c r="P804" s="334"/>
      <c r="Q804" s="334"/>
      <c r="R804" s="334"/>
      <c r="S804" s="334"/>
    </row>
    <row r="805">
      <c r="A805" s="334"/>
      <c r="B805" s="334"/>
      <c r="C805" s="334"/>
      <c r="D805" s="334"/>
      <c r="E805" s="334"/>
      <c r="F805" s="334"/>
      <c r="G805" s="334"/>
      <c r="H805" s="334"/>
      <c r="I805" s="334"/>
      <c r="J805" s="334"/>
      <c r="K805" s="334"/>
      <c r="L805" s="334"/>
      <c r="M805" s="334"/>
      <c r="N805" s="334"/>
      <c r="O805" s="334"/>
      <c r="P805" s="334"/>
      <c r="Q805" s="334"/>
      <c r="R805" s="334"/>
      <c r="S805" s="334"/>
    </row>
    <row r="806">
      <c r="A806" s="334"/>
      <c r="B806" s="334"/>
      <c r="C806" s="334"/>
      <c r="D806" s="334"/>
      <c r="E806" s="334"/>
      <c r="F806" s="334"/>
      <c r="G806" s="334"/>
      <c r="H806" s="334"/>
      <c r="I806" s="334"/>
      <c r="J806" s="334"/>
      <c r="K806" s="334"/>
      <c r="L806" s="334"/>
      <c r="M806" s="334"/>
      <c r="N806" s="334"/>
      <c r="O806" s="334"/>
      <c r="P806" s="334"/>
      <c r="Q806" s="334"/>
      <c r="R806" s="334"/>
      <c r="S806" s="334"/>
    </row>
    <row r="807">
      <c r="A807" s="334"/>
      <c r="B807" s="334"/>
      <c r="C807" s="334"/>
      <c r="D807" s="334"/>
      <c r="E807" s="334"/>
      <c r="F807" s="334"/>
      <c r="G807" s="334"/>
      <c r="H807" s="334"/>
      <c r="I807" s="334"/>
      <c r="J807" s="334"/>
      <c r="K807" s="334"/>
      <c r="L807" s="334"/>
      <c r="M807" s="334"/>
      <c r="N807" s="334"/>
      <c r="O807" s="334"/>
      <c r="P807" s="334"/>
      <c r="Q807" s="334"/>
      <c r="R807" s="334"/>
      <c r="S807" s="334"/>
    </row>
    <row r="808">
      <c r="A808" s="334"/>
      <c r="B808" s="334"/>
      <c r="C808" s="334"/>
      <c r="D808" s="334"/>
      <c r="E808" s="334"/>
      <c r="F808" s="334"/>
      <c r="G808" s="334"/>
      <c r="H808" s="334"/>
      <c r="I808" s="334"/>
      <c r="J808" s="334"/>
      <c r="K808" s="334"/>
      <c r="L808" s="334"/>
      <c r="M808" s="334"/>
      <c r="N808" s="334"/>
      <c r="O808" s="334"/>
      <c r="P808" s="334"/>
      <c r="Q808" s="334"/>
      <c r="R808" s="334"/>
      <c r="S808" s="334"/>
    </row>
    <row r="809">
      <c r="A809" s="334"/>
      <c r="B809" s="334"/>
      <c r="C809" s="334"/>
      <c r="D809" s="334"/>
      <c r="E809" s="334"/>
      <c r="F809" s="334"/>
      <c r="G809" s="334"/>
      <c r="H809" s="334"/>
      <c r="I809" s="334"/>
      <c r="J809" s="334"/>
      <c r="K809" s="334"/>
      <c r="L809" s="334"/>
      <c r="M809" s="334"/>
      <c r="N809" s="334"/>
      <c r="O809" s="334"/>
      <c r="P809" s="334"/>
      <c r="Q809" s="334"/>
      <c r="R809" s="334"/>
      <c r="S809" s="334"/>
    </row>
    <row r="810">
      <c r="A810" s="334"/>
      <c r="B810" s="334"/>
      <c r="C810" s="334"/>
      <c r="D810" s="334"/>
      <c r="E810" s="334"/>
      <c r="F810" s="334"/>
      <c r="G810" s="334"/>
      <c r="H810" s="334"/>
      <c r="I810" s="334"/>
      <c r="J810" s="334"/>
      <c r="K810" s="334"/>
      <c r="L810" s="334"/>
      <c r="M810" s="334"/>
      <c r="N810" s="334"/>
      <c r="O810" s="334"/>
      <c r="P810" s="334"/>
      <c r="Q810" s="334"/>
      <c r="R810" s="334"/>
      <c r="S810" s="334"/>
    </row>
    <row r="811">
      <c r="A811" s="334"/>
      <c r="B811" s="334"/>
      <c r="C811" s="334"/>
      <c r="D811" s="334"/>
      <c r="E811" s="334"/>
      <c r="F811" s="334"/>
      <c r="G811" s="334"/>
      <c r="H811" s="334"/>
      <c r="I811" s="334"/>
      <c r="J811" s="334"/>
      <c r="K811" s="334"/>
      <c r="L811" s="334"/>
      <c r="M811" s="334"/>
      <c r="N811" s="334"/>
      <c r="O811" s="334"/>
      <c r="P811" s="334"/>
      <c r="Q811" s="334"/>
      <c r="R811" s="334"/>
      <c r="S811" s="334"/>
    </row>
    <row r="812">
      <c r="A812" s="334"/>
      <c r="B812" s="334"/>
      <c r="C812" s="334"/>
      <c r="D812" s="334"/>
      <c r="E812" s="334"/>
      <c r="F812" s="334"/>
      <c r="G812" s="334"/>
      <c r="H812" s="334"/>
      <c r="I812" s="334"/>
      <c r="J812" s="334"/>
      <c r="K812" s="334"/>
      <c r="L812" s="334"/>
      <c r="M812" s="334"/>
      <c r="N812" s="334"/>
      <c r="O812" s="334"/>
      <c r="P812" s="334"/>
      <c r="Q812" s="334"/>
      <c r="R812" s="334"/>
      <c r="S812" s="334"/>
    </row>
    <row r="813">
      <c r="A813" s="334"/>
      <c r="B813" s="334"/>
      <c r="C813" s="334"/>
      <c r="D813" s="334"/>
      <c r="E813" s="334"/>
      <c r="F813" s="334"/>
      <c r="G813" s="334"/>
      <c r="H813" s="334"/>
      <c r="I813" s="334"/>
      <c r="J813" s="334"/>
      <c r="K813" s="334"/>
      <c r="L813" s="334"/>
      <c r="M813" s="334"/>
      <c r="N813" s="334"/>
      <c r="O813" s="334"/>
      <c r="P813" s="334"/>
      <c r="Q813" s="334"/>
      <c r="R813" s="334"/>
      <c r="S813" s="334"/>
    </row>
    <row r="814">
      <c r="A814" s="334"/>
      <c r="B814" s="334"/>
      <c r="C814" s="334"/>
      <c r="D814" s="334"/>
      <c r="E814" s="334"/>
      <c r="F814" s="334"/>
      <c r="G814" s="334"/>
      <c r="H814" s="334"/>
      <c r="I814" s="334"/>
      <c r="J814" s="334"/>
      <c r="K814" s="334"/>
      <c r="L814" s="334"/>
      <c r="M814" s="334"/>
      <c r="N814" s="334"/>
      <c r="O814" s="334"/>
      <c r="P814" s="334"/>
      <c r="Q814" s="334"/>
      <c r="R814" s="334"/>
      <c r="S814" s="334"/>
    </row>
    <row r="815">
      <c r="A815" s="334"/>
      <c r="B815" s="334"/>
      <c r="C815" s="334"/>
      <c r="D815" s="334"/>
      <c r="E815" s="334"/>
      <c r="F815" s="334"/>
      <c r="G815" s="334"/>
      <c r="H815" s="334"/>
      <c r="I815" s="334"/>
      <c r="J815" s="334"/>
      <c r="K815" s="334"/>
      <c r="L815" s="334"/>
      <c r="M815" s="334"/>
      <c r="N815" s="334"/>
      <c r="O815" s="334"/>
      <c r="P815" s="334"/>
      <c r="Q815" s="334"/>
      <c r="R815" s="334"/>
      <c r="S815" s="334"/>
    </row>
    <row r="816">
      <c r="A816" s="334"/>
      <c r="B816" s="334"/>
      <c r="C816" s="334"/>
      <c r="D816" s="334"/>
      <c r="E816" s="334"/>
      <c r="F816" s="334"/>
      <c r="G816" s="334"/>
      <c r="H816" s="334"/>
      <c r="I816" s="334"/>
      <c r="J816" s="334"/>
      <c r="K816" s="334"/>
      <c r="L816" s="334"/>
      <c r="M816" s="334"/>
      <c r="N816" s="334"/>
      <c r="O816" s="334"/>
      <c r="P816" s="334"/>
      <c r="Q816" s="334"/>
      <c r="R816" s="334"/>
      <c r="S816" s="334"/>
    </row>
    <row r="817">
      <c r="A817" s="334"/>
      <c r="B817" s="334"/>
      <c r="C817" s="334"/>
      <c r="D817" s="334"/>
      <c r="E817" s="334"/>
      <c r="F817" s="334"/>
      <c r="G817" s="334"/>
      <c r="H817" s="334"/>
      <c r="I817" s="334"/>
      <c r="J817" s="334"/>
      <c r="K817" s="334"/>
      <c r="L817" s="334"/>
      <c r="M817" s="334"/>
      <c r="N817" s="334"/>
      <c r="O817" s="334"/>
      <c r="P817" s="334"/>
      <c r="Q817" s="334"/>
      <c r="R817" s="334"/>
      <c r="S817" s="334"/>
    </row>
    <row r="818">
      <c r="A818" s="334"/>
      <c r="B818" s="334"/>
      <c r="C818" s="334"/>
      <c r="D818" s="334"/>
      <c r="E818" s="334"/>
      <c r="F818" s="334"/>
      <c r="G818" s="334"/>
      <c r="H818" s="334"/>
      <c r="I818" s="334"/>
      <c r="J818" s="334"/>
      <c r="K818" s="334"/>
      <c r="L818" s="334"/>
      <c r="M818" s="334"/>
      <c r="N818" s="334"/>
      <c r="O818" s="334"/>
      <c r="P818" s="334"/>
      <c r="Q818" s="334"/>
      <c r="R818" s="334"/>
      <c r="S818" s="334"/>
    </row>
    <row r="819">
      <c r="A819" s="334"/>
      <c r="B819" s="334"/>
      <c r="C819" s="334"/>
      <c r="D819" s="334"/>
      <c r="E819" s="334"/>
      <c r="F819" s="334"/>
      <c r="G819" s="334"/>
      <c r="H819" s="334"/>
      <c r="I819" s="334"/>
      <c r="J819" s="334"/>
      <c r="K819" s="334"/>
      <c r="L819" s="334"/>
      <c r="M819" s="334"/>
      <c r="N819" s="334"/>
      <c r="O819" s="334"/>
      <c r="P819" s="334"/>
      <c r="Q819" s="334"/>
      <c r="R819" s="334"/>
      <c r="S819" s="334"/>
    </row>
    <row r="820">
      <c r="A820" s="334"/>
      <c r="B820" s="334"/>
      <c r="C820" s="334"/>
      <c r="D820" s="334"/>
      <c r="E820" s="334"/>
      <c r="F820" s="334"/>
      <c r="G820" s="334"/>
      <c r="H820" s="334"/>
      <c r="I820" s="334"/>
      <c r="J820" s="334"/>
      <c r="K820" s="334"/>
      <c r="L820" s="334"/>
      <c r="M820" s="334"/>
      <c r="N820" s="334"/>
      <c r="O820" s="334"/>
      <c r="P820" s="334"/>
      <c r="Q820" s="334"/>
      <c r="R820" s="334"/>
      <c r="S820" s="334"/>
    </row>
    <row r="821">
      <c r="A821" s="334"/>
      <c r="B821" s="334"/>
      <c r="C821" s="334"/>
      <c r="D821" s="334"/>
      <c r="E821" s="334"/>
      <c r="F821" s="334"/>
      <c r="G821" s="334"/>
      <c r="H821" s="334"/>
      <c r="I821" s="334"/>
      <c r="J821" s="334"/>
      <c r="K821" s="334"/>
      <c r="L821" s="334"/>
      <c r="M821" s="334"/>
      <c r="N821" s="334"/>
      <c r="O821" s="334"/>
      <c r="P821" s="334"/>
      <c r="Q821" s="334"/>
      <c r="R821" s="334"/>
      <c r="S821" s="334"/>
    </row>
    <row r="822">
      <c r="A822" s="334"/>
      <c r="B822" s="334"/>
      <c r="C822" s="334"/>
      <c r="D822" s="334"/>
      <c r="E822" s="334"/>
      <c r="F822" s="334"/>
      <c r="G822" s="334"/>
      <c r="H822" s="334"/>
      <c r="I822" s="334"/>
      <c r="J822" s="334"/>
      <c r="K822" s="334"/>
      <c r="L822" s="334"/>
      <c r="M822" s="334"/>
      <c r="N822" s="334"/>
      <c r="O822" s="334"/>
      <c r="P822" s="334"/>
      <c r="Q822" s="334"/>
      <c r="R822" s="334"/>
      <c r="S822" s="334"/>
    </row>
    <row r="823">
      <c r="A823" s="334"/>
      <c r="B823" s="334"/>
      <c r="C823" s="334"/>
      <c r="D823" s="334"/>
      <c r="E823" s="334"/>
      <c r="F823" s="334"/>
      <c r="G823" s="334"/>
      <c r="H823" s="334"/>
      <c r="I823" s="334"/>
      <c r="J823" s="334"/>
      <c r="K823" s="334"/>
      <c r="L823" s="334"/>
      <c r="M823" s="334"/>
      <c r="N823" s="334"/>
      <c r="O823" s="334"/>
      <c r="P823" s="334"/>
      <c r="Q823" s="334"/>
      <c r="R823" s="334"/>
      <c r="S823" s="334"/>
    </row>
    <row r="824">
      <c r="A824" s="334"/>
      <c r="B824" s="334"/>
      <c r="C824" s="334"/>
      <c r="D824" s="334"/>
      <c r="E824" s="334"/>
      <c r="F824" s="334"/>
      <c r="G824" s="334"/>
      <c r="H824" s="334"/>
      <c r="I824" s="334"/>
      <c r="J824" s="334"/>
      <c r="K824" s="334"/>
      <c r="L824" s="334"/>
      <c r="M824" s="334"/>
      <c r="N824" s="334"/>
      <c r="O824" s="334"/>
      <c r="P824" s="334"/>
      <c r="Q824" s="334"/>
      <c r="R824" s="334"/>
      <c r="S824" s="334"/>
    </row>
    <row r="825">
      <c r="A825" s="334"/>
      <c r="B825" s="334"/>
      <c r="C825" s="334"/>
      <c r="D825" s="334"/>
      <c r="E825" s="334"/>
      <c r="F825" s="334"/>
      <c r="G825" s="334"/>
      <c r="H825" s="334"/>
      <c r="I825" s="334"/>
      <c r="J825" s="334"/>
      <c r="K825" s="334"/>
      <c r="L825" s="334"/>
      <c r="M825" s="334"/>
      <c r="N825" s="334"/>
      <c r="O825" s="334"/>
      <c r="P825" s="334"/>
      <c r="Q825" s="334"/>
      <c r="R825" s="334"/>
      <c r="S825" s="334"/>
    </row>
    <row r="826">
      <c r="A826" s="334"/>
      <c r="B826" s="334"/>
      <c r="C826" s="334"/>
      <c r="D826" s="334"/>
      <c r="E826" s="334"/>
      <c r="F826" s="334"/>
      <c r="G826" s="334"/>
      <c r="H826" s="334"/>
      <c r="I826" s="334"/>
      <c r="J826" s="334"/>
      <c r="K826" s="334"/>
      <c r="L826" s="334"/>
      <c r="M826" s="334"/>
      <c r="N826" s="334"/>
      <c r="O826" s="334"/>
      <c r="P826" s="334"/>
      <c r="Q826" s="334"/>
      <c r="R826" s="334"/>
      <c r="S826" s="334"/>
    </row>
    <row r="827">
      <c r="A827" s="334"/>
      <c r="B827" s="334"/>
      <c r="C827" s="334"/>
      <c r="D827" s="334"/>
      <c r="E827" s="334"/>
      <c r="F827" s="334"/>
      <c r="G827" s="334"/>
      <c r="H827" s="334"/>
      <c r="I827" s="334"/>
      <c r="J827" s="334"/>
      <c r="K827" s="334"/>
      <c r="L827" s="334"/>
      <c r="M827" s="334"/>
      <c r="N827" s="334"/>
      <c r="O827" s="334"/>
      <c r="P827" s="334"/>
      <c r="Q827" s="334"/>
      <c r="R827" s="334"/>
      <c r="S827" s="334"/>
    </row>
    <row r="828">
      <c r="A828" s="334"/>
      <c r="B828" s="334"/>
      <c r="C828" s="334"/>
      <c r="D828" s="334"/>
      <c r="E828" s="334"/>
      <c r="F828" s="334"/>
      <c r="G828" s="334"/>
      <c r="H828" s="334"/>
      <c r="I828" s="334"/>
      <c r="J828" s="334"/>
      <c r="K828" s="334"/>
      <c r="L828" s="334"/>
      <c r="M828" s="334"/>
      <c r="N828" s="334"/>
      <c r="O828" s="334"/>
      <c r="P828" s="334"/>
      <c r="Q828" s="334"/>
      <c r="R828" s="334"/>
      <c r="S828" s="334"/>
    </row>
    <row r="829">
      <c r="A829" s="334"/>
      <c r="B829" s="334"/>
      <c r="C829" s="334"/>
      <c r="D829" s="334"/>
      <c r="E829" s="334"/>
      <c r="F829" s="334"/>
      <c r="G829" s="334"/>
      <c r="H829" s="334"/>
      <c r="I829" s="334"/>
      <c r="J829" s="334"/>
      <c r="K829" s="334"/>
      <c r="L829" s="334"/>
      <c r="M829" s="334"/>
      <c r="N829" s="334"/>
      <c r="O829" s="334"/>
      <c r="P829" s="334"/>
      <c r="Q829" s="334"/>
      <c r="R829" s="334"/>
      <c r="S829" s="334"/>
    </row>
    <row r="830">
      <c r="A830" s="334"/>
      <c r="B830" s="334"/>
      <c r="C830" s="334"/>
      <c r="D830" s="334"/>
      <c r="E830" s="334"/>
      <c r="F830" s="334"/>
      <c r="G830" s="334"/>
      <c r="H830" s="334"/>
      <c r="I830" s="334"/>
      <c r="J830" s="334"/>
      <c r="K830" s="334"/>
      <c r="L830" s="334"/>
      <c r="M830" s="334"/>
      <c r="N830" s="334"/>
      <c r="O830" s="334"/>
      <c r="P830" s="334"/>
      <c r="Q830" s="334"/>
      <c r="R830" s="334"/>
      <c r="S830" s="334"/>
    </row>
    <row r="831">
      <c r="A831" s="334"/>
      <c r="B831" s="334"/>
      <c r="C831" s="334"/>
      <c r="D831" s="334"/>
      <c r="E831" s="334"/>
      <c r="F831" s="334"/>
      <c r="G831" s="334"/>
      <c r="H831" s="334"/>
      <c r="I831" s="334"/>
      <c r="J831" s="334"/>
      <c r="K831" s="334"/>
      <c r="L831" s="334"/>
      <c r="M831" s="334"/>
      <c r="N831" s="334"/>
      <c r="O831" s="334"/>
      <c r="P831" s="334"/>
      <c r="Q831" s="334"/>
      <c r="R831" s="334"/>
      <c r="S831" s="334"/>
    </row>
    <row r="832">
      <c r="A832" s="334"/>
      <c r="B832" s="334"/>
      <c r="C832" s="334"/>
      <c r="D832" s="334"/>
      <c r="E832" s="334"/>
      <c r="F832" s="334"/>
      <c r="G832" s="334"/>
      <c r="H832" s="334"/>
      <c r="I832" s="334"/>
      <c r="J832" s="334"/>
      <c r="K832" s="334"/>
      <c r="L832" s="334"/>
      <c r="M832" s="334"/>
      <c r="N832" s="334"/>
      <c r="O832" s="334"/>
      <c r="P832" s="334"/>
      <c r="Q832" s="334"/>
      <c r="R832" s="334"/>
      <c r="S832" s="334"/>
    </row>
    <row r="833">
      <c r="A833" s="334"/>
      <c r="B833" s="334"/>
      <c r="C833" s="334"/>
      <c r="D833" s="334"/>
      <c r="E833" s="334"/>
      <c r="F833" s="334"/>
      <c r="G833" s="334"/>
      <c r="H833" s="334"/>
      <c r="I833" s="334"/>
      <c r="J833" s="334"/>
      <c r="K833" s="334"/>
      <c r="L833" s="334"/>
      <c r="M833" s="334"/>
      <c r="N833" s="334"/>
      <c r="O833" s="334"/>
      <c r="P833" s="334"/>
      <c r="Q833" s="334"/>
      <c r="R833" s="334"/>
      <c r="S833" s="334"/>
    </row>
    <row r="834">
      <c r="A834" s="334"/>
      <c r="B834" s="334"/>
      <c r="C834" s="334"/>
      <c r="D834" s="334"/>
      <c r="E834" s="334"/>
      <c r="F834" s="334"/>
      <c r="G834" s="334"/>
      <c r="H834" s="334"/>
      <c r="I834" s="334"/>
      <c r="J834" s="334"/>
      <c r="K834" s="334"/>
      <c r="L834" s="334"/>
      <c r="M834" s="334"/>
      <c r="N834" s="334"/>
      <c r="O834" s="334"/>
      <c r="P834" s="334"/>
      <c r="Q834" s="334"/>
      <c r="R834" s="334"/>
      <c r="S834" s="334"/>
    </row>
    <row r="835">
      <c r="A835" s="334"/>
      <c r="B835" s="334"/>
      <c r="C835" s="334"/>
      <c r="D835" s="334"/>
      <c r="E835" s="334"/>
      <c r="F835" s="334"/>
      <c r="G835" s="334"/>
      <c r="H835" s="334"/>
      <c r="I835" s="334"/>
      <c r="J835" s="334"/>
      <c r="K835" s="334"/>
      <c r="L835" s="334"/>
      <c r="M835" s="334"/>
      <c r="N835" s="334"/>
      <c r="O835" s="334"/>
      <c r="P835" s="334"/>
      <c r="Q835" s="334"/>
      <c r="R835" s="334"/>
      <c r="S835" s="334"/>
    </row>
    <row r="836">
      <c r="A836" s="334"/>
      <c r="B836" s="334"/>
      <c r="C836" s="334"/>
      <c r="D836" s="334"/>
      <c r="E836" s="334"/>
      <c r="F836" s="334"/>
      <c r="G836" s="334"/>
      <c r="H836" s="334"/>
      <c r="I836" s="334"/>
      <c r="J836" s="334"/>
      <c r="K836" s="334"/>
      <c r="L836" s="334"/>
      <c r="M836" s="334"/>
      <c r="N836" s="334"/>
      <c r="O836" s="334"/>
      <c r="P836" s="334"/>
      <c r="Q836" s="334"/>
      <c r="R836" s="334"/>
      <c r="S836" s="334"/>
    </row>
    <row r="837">
      <c r="A837" s="334"/>
      <c r="B837" s="334"/>
      <c r="C837" s="334"/>
      <c r="D837" s="334"/>
      <c r="E837" s="334"/>
      <c r="F837" s="334"/>
      <c r="G837" s="334"/>
      <c r="H837" s="334"/>
      <c r="I837" s="334"/>
      <c r="J837" s="334"/>
      <c r="K837" s="334"/>
      <c r="L837" s="334"/>
      <c r="M837" s="334"/>
      <c r="N837" s="334"/>
      <c r="O837" s="334"/>
      <c r="P837" s="334"/>
      <c r="Q837" s="334"/>
      <c r="R837" s="334"/>
      <c r="S837" s="334"/>
    </row>
    <row r="838">
      <c r="A838" s="334"/>
      <c r="B838" s="334"/>
      <c r="C838" s="334"/>
      <c r="D838" s="334"/>
      <c r="E838" s="334"/>
      <c r="F838" s="334"/>
      <c r="G838" s="334"/>
      <c r="H838" s="334"/>
      <c r="I838" s="334"/>
      <c r="J838" s="334"/>
      <c r="K838" s="334"/>
      <c r="L838" s="334"/>
      <c r="M838" s="334"/>
      <c r="N838" s="334"/>
      <c r="O838" s="334"/>
      <c r="P838" s="334"/>
      <c r="Q838" s="334"/>
      <c r="R838" s="334"/>
      <c r="S838" s="334"/>
    </row>
    <row r="839">
      <c r="A839" s="334"/>
      <c r="B839" s="334"/>
      <c r="C839" s="334"/>
      <c r="D839" s="334"/>
      <c r="E839" s="334"/>
      <c r="F839" s="334"/>
      <c r="G839" s="334"/>
      <c r="H839" s="334"/>
      <c r="I839" s="334"/>
      <c r="J839" s="334"/>
      <c r="K839" s="334"/>
      <c r="L839" s="334"/>
      <c r="M839" s="334"/>
      <c r="N839" s="334"/>
      <c r="O839" s="334"/>
      <c r="P839" s="334"/>
      <c r="Q839" s="334"/>
      <c r="R839" s="334"/>
      <c r="S839" s="334"/>
    </row>
    <row r="840">
      <c r="A840" s="334"/>
      <c r="B840" s="334"/>
      <c r="C840" s="334"/>
      <c r="D840" s="334"/>
      <c r="E840" s="334"/>
      <c r="F840" s="334"/>
      <c r="G840" s="334"/>
      <c r="H840" s="334"/>
      <c r="I840" s="334"/>
      <c r="J840" s="334"/>
      <c r="K840" s="334"/>
      <c r="L840" s="334"/>
      <c r="M840" s="334"/>
      <c r="N840" s="334"/>
      <c r="O840" s="334"/>
      <c r="P840" s="334"/>
      <c r="Q840" s="334"/>
      <c r="R840" s="334"/>
      <c r="S840" s="334"/>
    </row>
    <row r="841">
      <c r="A841" s="334"/>
      <c r="B841" s="334"/>
      <c r="C841" s="334"/>
      <c r="D841" s="334"/>
      <c r="E841" s="334"/>
      <c r="F841" s="334"/>
      <c r="G841" s="334"/>
      <c r="H841" s="334"/>
      <c r="I841" s="334"/>
      <c r="J841" s="334"/>
      <c r="K841" s="334"/>
      <c r="L841" s="334"/>
      <c r="M841" s="334"/>
      <c r="N841" s="334"/>
      <c r="O841" s="334"/>
      <c r="P841" s="334"/>
      <c r="Q841" s="334"/>
      <c r="R841" s="334"/>
      <c r="S841" s="334"/>
    </row>
    <row r="842">
      <c r="A842" s="334"/>
      <c r="B842" s="334"/>
      <c r="C842" s="334"/>
      <c r="D842" s="334"/>
      <c r="E842" s="334"/>
      <c r="F842" s="334"/>
      <c r="G842" s="334"/>
      <c r="H842" s="334"/>
      <c r="I842" s="334"/>
      <c r="J842" s="334"/>
      <c r="K842" s="334"/>
      <c r="L842" s="334"/>
      <c r="M842" s="334"/>
      <c r="N842" s="334"/>
      <c r="O842" s="334"/>
      <c r="P842" s="334"/>
      <c r="Q842" s="334"/>
      <c r="R842" s="334"/>
      <c r="S842" s="334"/>
    </row>
    <row r="843">
      <c r="A843" s="334"/>
      <c r="B843" s="334"/>
      <c r="C843" s="334"/>
      <c r="D843" s="334"/>
      <c r="E843" s="334"/>
      <c r="F843" s="334"/>
      <c r="G843" s="334"/>
      <c r="H843" s="334"/>
      <c r="I843" s="334"/>
      <c r="J843" s="334"/>
      <c r="K843" s="334"/>
      <c r="L843" s="334"/>
      <c r="M843" s="334"/>
      <c r="N843" s="334"/>
      <c r="O843" s="334"/>
      <c r="P843" s="334"/>
      <c r="Q843" s="334"/>
      <c r="R843" s="334"/>
      <c r="S843" s="334"/>
    </row>
    <row r="844">
      <c r="A844" s="334"/>
      <c r="B844" s="334"/>
      <c r="C844" s="334"/>
      <c r="D844" s="334"/>
      <c r="E844" s="334"/>
      <c r="F844" s="334"/>
      <c r="G844" s="334"/>
      <c r="H844" s="334"/>
      <c r="I844" s="334"/>
      <c r="J844" s="334"/>
      <c r="K844" s="334"/>
      <c r="L844" s="334"/>
      <c r="M844" s="334"/>
      <c r="N844" s="334"/>
      <c r="O844" s="334"/>
      <c r="P844" s="334"/>
      <c r="Q844" s="334"/>
      <c r="R844" s="334"/>
      <c r="S844" s="334"/>
    </row>
    <row r="845">
      <c r="A845" s="334"/>
      <c r="B845" s="334"/>
      <c r="C845" s="334"/>
      <c r="D845" s="334"/>
      <c r="E845" s="334"/>
      <c r="F845" s="334"/>
      <c r="G845" s="334"/>
      <c r="H845" s="334"/>
      <c r="I845" s="334"/>
      <c r="J845" s="334"/>
      <c r="K845" s="334"/>
      <c r="L845" s="334"/>
      <c r="M845" s="334"/>
      <c r="N845" s="334"/>
      <c r="O845" s="334"/>
      <c r="P845" s="334"/>
      <c r="Q845" s="334"/>
      <c r="R845" s="334"/>
      <c r="S845" s="334"/>
    </row>
    <row r="846">
      <c r="A846" s="334"/>
      <c r="B846" s="334"/>
      <c r="C846" s="334"/>
      <c r="D846" s="334"/>
      <c r="E846" s="334"/>
      <c r="F846" s="334"/>
      <c r="G846" s="334"/>
      <c r="H846" s="334"/>
      <c r="I846" s="334"/>
      <c r="J846" s="334"/>
      <c r="K846" s="334"/>
      <c r="L846" s="334"/>
      <c r="M846" s="334"/>
      <c r="N846" s="334"/>
      <c r="O846" s="334"/>
      <c r="P846" s="334"/>
      <c r="Q846" s="334"/>
      <c r="R846" s="334"/>
      <c r="S846" s="334"/>
    </row>
    <row r="847">
      <c r="A847" s="334"/>
      <c r="B847" s="334"/>
      <c r="C847" s="334"/>
      <c r="D847" s="334"/>
      <c r="E847" s="334"/>
      <c r="F847" s="334"/>
      <c r="G847" s="334"/>
      <c r="H847" s="334"/>
      <c r="I847" s="334"/>
      <c r="J847" s="334"/>
      <c r="K847" s="334"/>
      <c r="L847" s="334"/>
      <c r="M847" s="334"/>
      <c r="N847" s="334"/>
      <c r="O847" s="334"/>
      <c r="P847" s="334"/>
      <c r="Q847" s="334"/>
      <c r="R847" s="334"/>
      <c r="S847" s="334"/>
    </row>
    <row r="848">
      <c r="A848" s="334"/>
      <c r="B848" s="334"/>
      <c r="C848" s="334"/>
      <c r="D848" s="334"/>
      <c r="E848" s="334"/>
      <c r="F848" s="334"/>
      <c r="G848" s="334"/>
      <c r="H848" s="334"/>
      <c r="I848" s="334"/>
      <c r="J848" s="334"/>
      <c r="K848" s="334"/>
      <c r="L848" s="334"/>
      <c r="M848" s="334"/>
      <c r="N848" s="334"/>
      <c r="O848" s="334"/>
      <c r="P848" s="334"/>
      <c r="Q848" s="334"/>
      <c r="R848" s="334"/>
      <c r="S848" s="334"/>
    </row>
    <row r="849">
      <c r="A849" s="334"/>
      <c r="B849" s="334"/>
      <c r="C849" s="334"/>
      <c r="D849" s="334"/>
      <c r="E849" s="334"/>
      <c r="F849" s="334"/>
      <c r="G849" s="334"/>
      <c r="H849" s="334"/>
      <c r="I849" s="334"/>
      <c r="J849" s="334"/>
      <c r="K849" s="334"/>
      <c r="L849" s="334"/>
      <c r="M849" s="334"/>
      <c r="N849" s="334"/>
      <c r="O849" s="334"/>
      <c r="P849" s="334"/>
      <c r="Q849" s="334"/>
      <c r="R849" s="334"/>
      <c r="S849" s="334"/>
    </row>
    <row r="850">
      <c r="A850" s="334"/>
      <c r="B850" s="334"/>
      <c r="C850" s="334"/>
      <c r="D850" s="334"/>
      <c r="E850" s="334"/>
      <c r="F850" s="334"/>
      <c r="G850" s="334"/>
      <c r="H850" s="334"/>
      <c r="I850" s="334"/>
      <c r="J850" s="334"/>
      <c r="K850" s="334"/>
      <c r="L850" s="334"/>
      <c r="M850" s="334"/>
      <c r="N850" s="334"/>
      <c r="O850" s="334"/>
      <c r="P850" s="334"/>
      <c r="Q850" s="334"/>
      <c r="R850" s="334"/>
      <c r="S850" s="334"/>
    </row>
    <row r="851">
      <c r="A851" s="334"/>
      <c r="B851" s="334"/>
      <c r="C851" s="334"/>
      <c r="D851" s="334"/>
      <c r="E851" s="334"/>
      <c r="F851" s="334"/>
      <c r="G851" s="334"/>
      <c r="H851" s="334"/>
      <c r="I851" s="334"/>
      <c r="J851" s="334"/>
      <c r="K851" s="334"/>
      <c r="L851" s="334"/>
      <c r="M851" s="334"/>
      <c r="N851" s="334"/>
      <c r="O851" s="334"/>
      <c r="P851" s="334"/>
      <c r="Q851" s="334"/>
      <c r="R851" s="334"/>
      <c r="S851" s="334"/>
    </row>
    <row r="852">
      <c r="A852" s="334"/>
      <c r="B852" s="334"/>
      <c r="C852" s="334"/>
      <c r="D852" s="334"/>
      <c r="E852" s="334"/>
      <c r="F852" s="334"/>
      <c r="G852" s="334"/>
      <c r="H852" s="334"/>
      <c r="I852" s="334"/>
      <c r="J852" s="334"/>
      <c r="K852" s="334"/>
      <c r="L852" s="334"/>
      <c r="M852" s="334"/>
      <c r="N852" s="334"/>
      <c r="O852" s="334"/>
      <c r="P852" s="334"/>
      <c r="Q852" s="334"/>
      <c r="R852" s="334"/>
      <c r="S852" s="334"/>
    </row>
    <row r="853">
      <c r="A853" s="334"/>
      <c r="B853" s="334"/>
      <c r="C853" s="334"/>
      <c r="D853" s="334"/>
      <c r="E853" s="334"/>
      <c r="F853" s="334"/>
      <c r="G853" s="334"/>
      <c r="H853" s="334"/>
      <c r="I853" s="334"/>
      <c r="J853" s="334"/>
      <c r="K853" s="334"/>
      <c r="L853" s="334"/>
      <c r="M853" s="334"/>
      <c r="N853" s="334"/>
      <c r="O853" s="334"/>
      <c r="P853" s="334"/>
      <c r="Q853" s="334"/>
      <c r="R853" s="334"/>
      <c r="S853" s="334"/>
    </row>
    <row r="854">
      <c r="A854" s="334"/>
      <c r="B854" s="334"/>
      <c r="C854" s="334"/>
      <c r="D854" s="334"/>
      <c r="E854" s="334"/>
      <c r="F854" s="334"/>
      <c r="G854" s="334"/>
      <c r="H854" s="334"/>
      <c r="I854" s="334"/>
      <c r="J854" s="334"/>
      <c r="K854" s="334"/>
      <c r="L854" s="334"/>
      <c r="M854" s="334"/>
      <c r="N854" s="334"/>
      <c r="O854" s="334"/>
      <c r="P854" s="334"/>
      <c r="Q854" s="334"/>
      <c r="R854" s="334"/>
      <c r="S854" s="334"/>
    </row>
    <row r="855">
      <c r="A855" s="334"/>
      <c r="B855" s="334"/>
      <c r="C855" s="334"/>
      <c r="D855" s="334"/>
      <c r="E855" s="334"/>
      <c r="F855" s="334"/>
      <c r="G855" s="334"/>
      <c r="H855" s="334"/>
      <c r="I855" s="334"/>
      <c r="J855" s="334"/>
      <c r="K855" s="334"/>
      <c r="L855" s="334"/>
      <c r="M855" s="334"/>
      <c r="N855" s="334"/>
      <c r="O855" s="334"/>
      <c r="P855" s="334"/>
      <c r="Q855" s="334"/>
      <c r="R855" s="334"/>
      <c r="S855" s="334"/>
    </row>
    <row r="856">
      <c r="A856" s="334"/>
      <c r="B856" s="334"/>
      <c r="C856" s="334"/>
      <c r="D856" s="334"/>
      <c r="E856" s="334"/>
      <c r="F856" s="334"/>
      <c r="G856" s="334"/>
      <c r="H856" s="334"/>
      <c r="I856" s="334"/>
      <c r="J856" s="334"/>
      <c r="K856" s="334"/>
      <c r="L856" s="334"/>
      <c r="M856" s="334"/>
      <c r="N856" s="334"/>
      <c r="O856" s="334"/>
      <c r="P856" s="334"/>
      <c r="Q856" s="334"/>
      <c r="R856" s="334"/>
      <c r="S856" s="334"/>
    </row>
    <row r="857">
      <c r="A857" s="334"/>
      <c r="B857" s="334"/>
      <c r="C857" s="334"/>
      <c r="D857" s="334"/>
      <c r="E857" s="334"/>
      <c r="F857" s="334"/>
      <c r="G857" s="334"/>
      <c r="H857" s="334"/>
      <c r="I857" s="334"/>
      <c r="J857" s="334"/>
      <c r="K857" s="334"/>
      <c r="L857" s="334"/>
      <c r="M857" s="334"/>
      <c r="N857" s="334"/>
      <c r="O857" s="334"/>
      <c r="P857" s="334"/>
      <c r="Q857" s="334"/>
      <c r="R857" s="334"/>
      <c r="S857" s="334"/>
    </row>
    <row r="858">
      <c r="A858" s="334"/>
      <c r="B858" s="334"/>
      <c r="C858" s="334"/>
      <c r="D858" s="334"/>
      <c r="E858" s="334"/>
      <c r="F858" s="334"/>
      <c r="G858" s="334"/>
      <c r="H858" s="334"/>
      <c r="I858" s="334"/>
      <c r="J858" s="334"/>
      <c r="K858" s="334"/>
      <c r="L858" s="334"/>
      <c r="M858" s="334"/>
      <c r="N858" s="334"/>
      <c r="O858" s="334"/>
      <c r="P858" s="334"/>
      <c r="Q858" s="334"/>
      <c r="R858" s="334"/>
      <c r="S858" s="334"/>
    </row>
    <row r="859">
      <c r="A859" s="334"/>
      <c r="B859" s="334"/>
      <c r="C859" s="334"/>
      <c r="D859" s="334"/>
      <c r="E859" s="334"/>
      <c r="F859" s="334"/>
      <c r="G859" s="334"/>
      <c r="H859" s="334"/>
      <c r="I859" s="334"/>
      <c r="J859" s="334"/>
      <c r="K859" s="334"/>
      <c r="L859" s="334"/>
      <c r="M859" s="334"/>
      <c r="N859" s="334"/>
      <c r="O859" s="334"/>
      <c r="P859" s="334"/>
      <c r="Q859" s="334"/>
      <c r="R859" s="334"/>
      <c r="S859" s="334"/>
    </row>
    <row r="860">
      <c r="A860" s="334"/>
      <c r="B860" s="334"/>
      <c r="C860" s="334"/>
      <c r="D860" s="334"/>
      <c r="E860" s="334"/>
      <c r="F860" s="334"/>
      <c r="G860" s="334"/>
      <c r="H860" s="334"/>
      <c r="I860" s="334"/>
      <c r="J860" s="334"/>
      <c r="K860" s="334"/>
      <c r="L860" s="334"/>
      <c r="M860" s="334"/>
      <c r="N860" s="334"/>
      <c r="O860" s="334"/>
      <c r="P860" s="334"/>
      <c r="Q860" s="334"/>
      <c r="R860" s="334"/>
      <c r="S860" s="334"/>
    </row>
    <row r="861">
      <c r="A861" s="334"/>
      <c r="B861" s="334"/>
      <c r="C861" s="334"/>
      <c r="D861" s="334"/>
      <c r="E861" s="334"/>
      <c r="F861" s="334"/>
      <c r="G861" s="334"/>
      <c r="H861" s="334"/>
      <c r="I861" s="334"/>
      <c r="J861" s="334"/>
      <c r="K861" s="334"/>
      <c r="L861" s="334"/>
      <c r="M861" s="334"/>
      <c r="N861" s="334"/>
      <c r="O861" s="334"/>
      <c r="P861" s="334"/>
      <c r="Q861" s="334"/>
      <c r="R861" s="334"/>
      <c r="S861" s="334"/>
    </row>
    <row r="862">
      <c r="A862" s="334"/>
      <c r="B862" s="334"/>
      <c r="C862" s="334"/>
      <c r="D862" s="334"/>
      <c r="E862" s="334"/>
      <c r="F862" s="334"/>
      <c r="G862" s="334"/>
      <c r="H862" s="334"/>
      <c r="I862" s="334"/>
      <c r="J862" s="334"/>
      <c r="K862" s="334"/>
      <c r="L862" s="334"/>
      <c r="M862" s="334"/>
      <c r="N862" s="334"/>
      <c r="O862" s="334"/>
      <c r="P862" s="334"/>
      <c r="Q862" s="334"/>
      <c r="R862" s="334"/>
      <c r="S862" s="334"/>
    </row>
    <row r="863">
      <c r="A863" s="334"/>
      <c r="B863" s="334"/>
      <c r="C863" s="334"/>
      <c r="D863" s="334"/>
      <c r="E863" s="334"/>
      <c r="F863" s="334"/>
      <c r="G863" s="334"/>
      <c r="H863" s="334"/>
      <c r="I863" s="334"/>
      <c r="J863" s="334"/>
      <c r="K863" s="334"/>
      <c r="L863" s="334"/>
      <c r="M863" s="334"/>
      <c r="N863" s="334"/>
      <c r="O863" s="334"/>
      <c r="P863" s="334"/>
      <c r="Q863" s="334"/>
      <c r="R863" s="334"/>
      <c r="S863" s="334"/>
    </row>
    <row r="864">
      <c r="A864" s="334"/>
      <c r="B864" s="334"/>
      <c r="C864" s="334"/>
      <c r="D864" s="334"/>
      <c r="E864" s="334"/>
      <c r="F864" s="334"/>
      <c r="G864" s="334"/>
      <c r="H864" s="334"/>
      <c r="I864" s="334"/>
      <c r="J864" s="334"/>
      <c r="K864" s="334"/>
      <c r="L864" s="334"/>
      <c r="M864" s="334"/>
      <c r="N864" s="334"/>
      <c r="O864" s="334"/>
      <c r="P864" s="334"/>
      <c r="Q864" s="334"/>
      <c r="R864" s="334"/>
      <c r="S864" s="334"/>
    </row>
    <row r="865">
      <c r="A865" s="334"/>
      <c r="B865" s="334"/>
      <c r="C865" s="334"/>
      <c r="D865" s="334"/>
      <c r="E865" s="334"/>
      <c r="F865" s="334"/>
      <c r="G865" s="334"/>
      <c r="H865" s="334"/>
      <c r="I865" s="334"/>
      <c r="J865" s="334"/>
      <c r="K865" s="334"/>
      <c r="L865" s="334"/>
      <c r="M865" s="334"/>
      <c r="N865" s="334"/>
      <c r="O865" s="334"/>
      <c r="P865" s="334"/>
      <c r="Q865" s="334"/>
      <c r="R865" s="334"/>
      <c r="S865" s="334"/>
    </row>
    <row r="866">
      <c r="A866" s="334"/>
      <c r="B866" s="334"/>
      <c r="C866" s="334"/>
      <c r="D866" s="334"/>
      <c r="E866" s="334"/>
      <c r="F866" s="334"/>
      <c r="G866" s="334"/>
      <c r="H866" s="334"/>
      <c r="I866" s="334"/>
      <c r="J866" s="334"/>
      <c r="K866" s="334"/>
      <c r="L866" s="334"/>
      <c r="M866" s="334"/>
      <c r="N866" s="334"/>
      <c r="O866" s="334"/>
      <c r="P866" s="334"/>
      <c r="Q866" s="334"/>
      <c r="R866" s="334"/>
      <c r="S866" s="334"/>
    </row>
    <row r="867">
      <c r="A867" s="334"/>
      <c r="B867" s="334"/>
      <c r="C867" s="334"/>
      <c r="D867" s="334"/>
      <c r="E867" s="334"/>
      <c r="F867" s="334"/>
      <c r="G867" s="334"/>
      <c r="H867" s="334"/>
      <c r="I867" s="334"/>
      <c r="J867" s="334"/>
      <c r="K867" s="334"/>
      <c r="L867" s="334"/>
      <c r="M867" s="334"/>
      <c r="N867" s="334"/>
      <c r="O867" s="334"/>
      <c r="P867" s="334"/>
      <c r="Q867" s="334"/>
      <c r="R867" s="334"/>
      <c r="S867" s="334"/>
    </row>
    <row r="868">
      <c r="A868" s="334"/>
      <c r="B868" s="334"/>
      <c r="C868" s="334"/>
      <c r="D868" s="334"/>
      <c r="E868" s="334"/>
      <c r="F868" s="334"/>
      <c r="G868" s="334"/>
      <c r="H868" s="334"/>
      <c r="I868" s="334"/>
      <c r="J868" s="334"/>
      <c r="K868" s="334"/>
      <c r="L868" s="334"/>
      <c r="M868" s="334"/>
      <c r="N868" s="334"/>
      <c r="O868" s="334"/>
      <c r="P868" s="334"/>
      <c r="Q868" s="334"/>
      <c r="R868" s="334"/>
      <c r="S868" s="334"/>
    </row>
    <row r="869">
      <c r="A869" s="334"/>
      <c r="B869" s="334"/>
      <c r="C869" s="334"/>
      <c r="D869" s="334"/>
      <c r="E869" s="334"/>
      <c r="F869" s="334"/>
      <c r="G869" s="334"/>
      <c r="H869" s="334"/>
      <c r="I869" s="334"/>
      <c r="J869" s="334"/>
      <c r="K869" s="334"/>
      <c r="L869" s="334"/>
      <c r="M869" s="334"/>
      <c r="N869" s="334"/>
      <c r="O869" s="334"/>
      <c r="P869" s="334"/>
      <c r="Q869" s="334"/>
      <c r="R869" s="334"/>
      <c r="S869" s="334"/>
    </row>
    <row r="870">
      <c r="A870" s="334"/>
      <c r="B870" s="334"/>
      <c r="C870" s="334"/>
      <c r="D870" s="334"/>
      <c r="E870" s="334"/>
      <c r="F870" s="334"/>
      <c r="G870" s="334"/>
      <c r="H870" s="334"/>
      <c r="I870" s="334"/>
      <c r="J870" s="334"/>
      <c r="K870" s="334"/>
      <c r="L870" s="334"/>
      <c r="M870" s="334"/>
      <c r="N870" s="334"/>
      <c r="O870" s="334"/>
      <c r="P870" s="334"/>
      <c r="Q870" s="334"/>
      <c r="R870" s="334"/>
      <c r="S870" s="334"/>
    </row>
    <row r="871">
      <c r="A871" s="334"/>
      <c r="B871" s="334"/>
      <c r="C871" s="334"/>
      <c r="D871" s="334"/>
      <c r="E871" s="334"/>
      <c r="F871" s="334"/>
      <c r="G871" s="334"/>
      <c r="H871" s="334"/>
      <c r="I871" s="334"/>
      <c r="J871" s="334"/>
      <c r="K871" s="334"/>
      <c r="L871" s="334"/>
      <c r="M871" s="334"/>
      <c r="N871" s="334"/>
      <c r="O871" s="334"/>
      <c r="P871" s="334"/>
      <c r="Q871" s="334"/>
      <c r="R871" s="334"/>
      <c r="S871" s="334"/>
    </row>
    <row r="872">
      <c r="A872" s="334"/>
      <c r="B872" s="334"/>
      <c r="C872" s="334"/>
      <c r="D872" s="334"/>
      <c r="E872" s="334"/>
      <c r="F872" s="334"/>
      <c r="G872" s="334"/>
      <c r="H872" s="334"/>
      <c r="I872" s="334"/>
      <c r="J872" s="334"/>
      <c r="K872" s="334"/>
      <c r="L872" s="334"/>
      <c r="M872" s="334"/>
      <c r="N872" s="334"/>
      <c r="O872" s="334"/>
      <c r="P872" s="334"/>
      <c r="Q872" s="334"/>
      <c r="R872" s="334"/>
      <c r="S872" s="334"/>
    </row>
    <row r="873">
      <c r="A873" s="334"/>
      <c r="B873" s="334"/>
      <c r="C873" s="334"/>
      <c r="D873" s="334"/>
      <c r="E873" s="334"/>
      <c r="F873" s="334"/>
      <c r="G873" s="334"/>
      <c r="H873" s="334"/>
      <c r="I873" s="334"/>
      <c r="J873" s="334"/>
      <c r="K873" s="334"/>
      <c r="L873" s="334"/>
      <c r="M873" s="334"/>
      <c r="N873" s="334"/>
      <c r="O873" s="334"/>
      <c r="P873" s="334"/>
      <c r="Q873" s="334"/>
      <c r="R873" s="334"/>
      <c r="S873" s="334"/>
    </row>
    <row r="874">
      <c r="A874" s="334"/>
      <c r="B874" s="334"/>
      <c r="C874" s="334"/>
      <c r="D874" s="334"/>
      <c r="E874" s="334"/>
      <c r="F874" s="334"/>
      <c r="G874" s="334"/>
      <c r="H874" s="334"/>
      <c r="I874" s="334"/>
      <c r="J874" s="334"/>
      <c r="K874" s="334"/>
      <c r="L874" s="334"/>
      <c r="M874" s="334"/>
      <c r="N874" s="334"/>
      <c r="O874" s="334"/>
      <c r="P874" s="334"/>
      <c r="Q874" s="334"/>
      <c r="R874" s="334"/>
      <c r="S874" s="334"/>
    </row>
    <row r="875">
      <c r="A875" s="334"/>
      <c r="B875" s="334"/>
      <c r="C875" s="334"/>
      <c r="D875" s="334"/>
      <c r="E875" s="334"/>
      <c r="F875" s="334"/>
      <c r="G875" s="334"/>
      <c r="H875" s="334"/>
      <c r="I875" s="334"/>
      <c r="J875" s="334"/>
      <c r="K875" s="334"/>
      <c r="L875" s="334"/>
      <c r="M875" s="334"/>
      <c r="N875" s="334"/>
      <c r="O875" s="334"/>
      <c r="P875" s="334"/>
      <c r="Q875" s="334"/>
      <c r="R875" s="334"/>
      <c r="S875" s="334"/>
    </row>
    <row r="876">
      <c r="A876" s="334"/>
      <c r="B876" s="334"/>
      <c r="C876" s="334"/>
      <c r="D876" s="334"/>
      <c r="E876" s="334"/>
      <c r="F876" s="334"/>
      <c r="G876" s="334"/>
      <c r="H876" s="334"/>
      <c r="I876" s="334"/>
      <c r="J876" s="334"/>
      <c r="K876" s="334"/>
      <c r="L876" s="334"/>
      <c r="M876" s="334"/>
      <c r="N876" s="334"/>
      <c r="O876" s="334"/>
      <c r="P876" s="334"/>
      <c r="Q876" s="334"/>
      <c r="R876" s="334"/>
      <c r="S876" s="334"/>
    </row>
    <row r="877">
      <c r="A877" s="334"/>
      <c r="B877" s="334"/>
      <c r="C877" s="334"/>
      <c r="D877" s="334"/>
      <c r="E877" s="334"/>
      <c r="F877" s="334"/>
      <c r="G877" s="334"/>
      <c r="H877" s="334"/>
      <c r="I877" s="334"/>
      <c r="J877" s="334"/>
      <c r="K877" s="334"/>
      <c r="L877" s="334"/>
      <c r="M877" s="334"/>
      <c r="N877" s="334"/>
      <c r="O877" s="334"/>
      <c r="P877" s="334"/>
      <c r="Q877" s="334"/>
      <c r="R877" s="334"/>
      <c r="S877" s="334"/>
    </row>
    <row r="878">
      <c r="A878" s="334"/>
      <c r="B878" s="334"/>
      <c r="C878" s="334"/>
      <c r="D878" s="334"/>
      <c r="E878" s="334"/>
      <c r="F878" s="334"/>
      <c r="G878" s="334"/>
      <c r="H878" s="334"/>
      <c r="I878" s="334"/>
      <c r="J878" s="334"/>
      <c r="K878" s="334"/>
      <c r="L878" s="334"/>
      <c r="M878" s="334"/>
      <c r="N878" s="334"/>
      <c r="O878" s="334"/>
      <c r="P878" s="334"/>
      <c r="Q878" s="334"/>
      <c r="R878" s="334"/>
      <c r="S878" s="334"/>
    </row>
    <row r="879">
      <c r="A879" s="334"/>
      <c r="B879" s="334"/>
      <c r="C879" s="334"/>
      <c r="D879" s="334"/>
      <c r="E879" s="334"/>
      <c r="F879" s="334"/>
      <c r="G879" s="334"/>
      <c r="H879" s="334"/>
      <c r="I879" s="334"/>
      <c r="J879" s="334"/>
      <c r="K879" s="334"/>
      <c r="L879" s="334"/>
      <c r="M879" s="334"/>
      <c r="N879" s="334"/>
      <c r="O879" s="334"/>
      <c r="P879" s="334"/>
      <c r="Q879" s="334"/>
      <c r="R879" s="334"/>
      <c r="S879" s="334"/>
    </row>
    <row r="880">
      <c r="A880" s="334"/>
      <c r="B880" s="334"/>
      <c r="C880" s="334"/>
      <c r="D880" s="334"/>
      <c r="E880" s="334"/>
      <c r="F880" s="334"/>
      <c r="G880" s="334"/>
      <c r="H880" s="334"/>
      <c r="I880" s="334"/>
      <c r="J880" s="334"/>
      <c r="K880" s="334"/>
      <c r="L880" s="334"/>
      <c r="M880" s="334"/>
      <c r="N880" s="334"/>
      <c r="O880" s="334"/>
      <c r="P880" s="334"/>
      <c r="Q880" s="334"/>
      <c r="R880" s="334"/>
      <c r="S880" s="334"/>
    </row>
    <row r="881">
      <c r="A881" s="334"/>
      <c r="B881" s="334"/>
      <c r="C881" s="334"/>
      <c r="D881" s="334"/>
      <c r="E881" s="334"/>
      <c r="F881" s="334"/>
      <c r="G881" s="334"/>
      <c r="H881" s="334"/>
      <c r="I881" s="334"/>
      <c r="J881" s="334"/>
      <c r="K881" s="334"/>
      <c r="L881" s="334"/>
      <c r="M881" s="334"/>
      <c r="N881" s="334"/>
      <c r="O881" s="334"/>
      <c r="P881" s="334"/>
      <c r="Q881" s="334"/>
      <c r="R881" s="334"/>
      <c r="S881" s="334"/>
    </row>
    <row r="882">
      <c r="A882" s="334"/>
      <c r="B882" s="334"/>
      <c r="C882" s="334"/>
      <c r="D882" s="334"/>
      <c r="E882" s="334"/>
      <c r="F882" s="334"/>
      <c r="G882" s="334"/>
      <c r="H882" s="334"/>
      <c r="I882" s="334"/>
      <c r="J882" s="334"/>
      <c r="K882" s="334"/>
      <c r="L882" s="334"/>
      <c r="M882" s="334"/>
      <c r="N882" s="334"/>
      <c r="O882" s="334"/>
      <c r="P882" s="334"/>
      <c r="Q882" s="334"/>
      <c r="R882" s="334"/>
      <c r="S882" s="334"/>
    </row>
    <row r="883">
      <c r="A883" s="334"/>
      <c r="B883" s="334"/>
      <c r="C883" s="334"/>
      <c r="D883" s="334"/>
      <c r="E883" s="334"/>
      <c r="F883" s="334"/>
      <c r="G883" s="334"/>
      <c r="H883" s="334"/>
      <c r="I883" s="334"/>
      <c r="J883" s="334"/>
      <c r="K883" s="334"/>
      <c r="L883" s="334"/>
      <c r="M883" s="334"/>
      <c r="N883" s="334"/>
      <c r="O883" s="334"/>
      <c r="P883" s="334"/>
      <c r="Q883" s="334"/>
      <c r="R883" s="334"/>
      <c r="S883" s="334"/>
    </row>
    <row r="884">
      <c r="A884" s="334"/>
      <c r="B884" s="334"/>
      <c r="C884" s="334"/>
      <c r="D884" s="334"/>
      <c r="E884" s="334"/>
      <c r="F884" s="334"/>
      <c r="G884" s="334"/>
      <c r="H884" s="334"/>
      <c r="I884" s="334"/>
      <c r="J884" s="334"/>
      <c r="K884" s="334"/>
      <c r="L884" s="334"/>
      <c r="M884" s="334"/>
      <c r="N884" s="334"/>
      <c r="O884" s="334"/>
      <c r="P884" s="334"/>
      <c r="Q884" s="334"/>
      <c r="R884" s="334"/>
      <c r="S884" s="334"/>
    </row>
    <row r="885">
      <c r="A885" s="334"/>
      <c r="B885" s="334"/>
      <c r="C885" s="334"/>
      <c r="D885" s="334"/>
      <c r="E885" s="334"/>
      <c r="F885" s="334"/>
      <c r="G885" s="334"/>
      <c r="H885" s="334"/>
      <c r="I885" s="334"/>
      <c r="J885" s="334"/>
      <c r="K885" s="334"/>
      <c r="L885" s="334"/>
      <c r="M885" s="334"/>
      <c r="N885" s="334"/>
      <c r="O885" s="334"/>
      <c r="P885" s="334"/>
      <c r="Q885" s="334"/>
      <c r="R885" s="334"/>
      <c r="S885" s="334"/>
    </row>
    <row r="886">
      <c r="A886" s="334"/>
      <c r="B886" s="334"/>
      <c r="C886" s="334"/>
      <c r="D886" s="334"/>
      <c r="E886" s="334"/>
      <c r="F886" s="334"/>
      <c r="G886" s="334"/>
      <c r="H886" s="334"/>
      <c r="I886" s="334"/>
      <c r="J886" s="334"/>
      <c r="K886" s="334"/>
      <c r="L886" s="334"/>
      <c r="M886" s="334"/>
      <c r="N886" s="334"/>
      <c r="O886" s="334"/>
      <c r="P886" s="334"/>
      <c r="Q886" s="334"/>
      <c r="R886" s="334"/>
      <c r="S886" s="334"/>
    </row>
    <row r="887">
      <c r="A887" s="334"/>
      <c r="B887" s="334"/>
      <c r="C887" s="334"/>
      <c r="D887" s="334"/>
      <c r="E887" s="334"/>
      <c r="F887" s="334"/>
      <c r="G887" s="334"/>
      <c r="H887" s="334"/>
      <c r="I887" s="334"/>
      <c r="J887" s="334"/>
      <c r="K887" s="334"/>
      <c r="L887" s="334"/>
      <c r="M887" s="334"/>
      <c r="N887" s="334"/>
      <c r="O887" s="334"/>
      <c r="P887" s="334"/>
      <c r="Q887" s="334"/>
      <c r="R887" s="334"/>
      <c r="S887" s="334"/>
    </row>
    <row r="888">
      <c r="A888" s="334"/>
      <c r="B888" s="334"/>
      <c r="C888" s="334"/>
      <c r="D888" s="334"/>
      <c r="E888" s="334"/>
      <c r="F888" s="334"/>
      <c r="G888" s="334"/>
      <c r="H888" s="334"/>
      <c r="I888" s="334"/>
      <c r="J888" s="334"/>
      <c r="K888" s="334"/>
      <c r="L888" s="334"/>
      <c r="M888" s="334"/>
      <c r="N888" s="334"/>
      <c r="O888" s="334"/>
      <c r="P888" s="334"/>
      <c r="Q888" s="334"/>
      <c r="R888" s="334"/>
      <c r="S888" s="334"/>
    </row>
    <row r="889">
      <c r="A889" s="334"/>
      <c r="B889" s="334"/>
      <c r="C889" s="334"/>
      <c r="D889" s="334"/>
      <c r="E889" s="334"/>
      <c r="F889" s="334"/>
      <c r="G889" s="334"/>
      <c r="H889" s="334"/>
      <c r="I889" s="334"/>
      <c r="J889" s="334"/>
      <c r="K889" s="334"/>
      <c r="L889" s="334"/>
      <c r="M889" s="334"/>
      <c r="N889" s="334"/>
      <c r="O889" s="334"/>
      <c r="P889" s="334"/>
      <c r="Q889" s="334"/>
      <c r="R889" s="334"/>
      <c r="S889" s="334"/>
    </row>
    <row r="890">
      <c r="A890" s="334"/>
      <c r="B890" s="334"/>
      <c r="C890" s="334"/>
      <c r="D890" s="334"/>
      <c r="E890" s="334"/>
      <c r="F890" s="334"/>
      <c r="G890" s="334"/>
      <c r="H890" s="334"/>
      <c r="I890" s="334"/>
      <c r="J890" s="334"/>
      <c r="K890" s="334"/>
      <c r="L890" s="334"/>
      <c r="M890" s="334"/>
      <c r="N890" s="334"/>
      <c r="O890" s="334"/>
      <c r="P890" s="334"/>
      <c r="Q890" s="334"/>
      <c r="R890" s="334"/>
      <c r="S890" s="334"/>
    </row>
    <row r="891">
      <c r="A891" s="334"/>
      <c r="B891" s="334"/>
      <c r="C891" s="334"/>
      <c r="D891" s="334"/>
      <c r="E891" s="334"/>
      <c r="F891" s="334"/>
      <c r="G891" s="334"/>
      <c r="H891" s="334"/>
      <c r="I891" s="334"/>
      <c r="J891" s="334"/>
      <c r="K891" s="334"/>
      <c r="L891" s="334"/>
      <c r="M891" s="334"/>
      <c r="N891" s="334"/>
      <c r="O891" s="334"/>
      <c r="P891" s="334"/>
      <c r="Q891" s="334"/>
      <c r="R891" s="334"/>
      <c r="S891" s="334"/>
    </row>
    <row r="892">
      <c r="A892" s="334"/>
      <c r="B892" s="334"/>
      <c r="C892" s="334"/>
      <c r="D892" s="334"/>
      <c r="E892" s="334"/>
      <c r="F892" s="334"/>
      <c r="G892" s="334"/>
      <c r="H892" s="334"/>
      <c r="I892" s="334"/>
      <c r="J892" s="334"/>
      <c r="K892" s="334"/>
      <c r="L892" s="334"/>
      <c r="M892" s="334"/>
      <c r="N892" s="334"/>
      <c r="O892" s="334"/>
      <c r="P892" s="334"/>
      <c r="Q892" s="334"/>
      <c r="R892" s="334"/>
      <c r="S892" s="334"/>
    </row>
    <row r="893">
      <c r="A893" s="334"/>
      <c r="B893" s="334"/>
      <c r="C893" s="334"/>
      <c r="D893" s="334"/>
      <c r="E893" s="334"/>
      <c r="F893" s="334"/>
      <c r="G893" s="334"/>
      <c r="H893" s="334"/>
      <c r="I893" s="334"/>
      <c r="J893" s="334"/>
      <c r="K893" s="334"/>
      <c r="L893" s="334"/>
      <c r="M893" s="334"/>
      <c r="N893" s="334"/>
      <c r="O893" s="334"/>
      <c r="P893" s="334"/>
      <c r="Q893" s="334"/>
      <c r="R893" s="334"/>
      <c r="S893" s="334"/>
    </row>
    <row r="894">
      <c r="A894" s="334"/>
      <c r="B894" s="334"/>
      <c r="C894" s="334"/>
      <c r="D894" s="334"/>
      <c r="E894" s="334"/>
      <c r="F894" s="334"/>
      <c r="G894" s="334"/>
      <c r="H894" s="334"/>
      <c r="I894" s="334"/>
      <c r="J894" s="334"/>
      <c r="K894" s="334"/>
      <c r="L894" s="334"/>
      <c r="M894" s="334"/>
      <c r="N894" s="334"/>
      <c r="O894" s="334"/>
      <c r="P894" s="334"/>
      <c r="Q894" s="334"/>
      <c r="R894" s="334"/>
      <c r="S894" s="334"/>
    </row>
    <row r="895">
      <c r="A895" s="334"/>
      <c r="B895" s="334"/>
      <c r="C895" s="334"/>
      <c r="D895" s="334"/>
      <c r="E895" s="334"/>
      <c r="F895" s="334"/>
      <c r="G895" s="334"/>
      <c r="H895" s="334"/>
      <c r="I895" s="334"/>
      <c r="J895" s="334"/>
      <c r="K895" s="334"/>
      <c r="L895" s="334"/>
      <c r="M895" s="334"/>
      <c r="N895" s="334"/>
      <c r="O895" s="334"/>
      <c r="P895" s="334"/>
      <c r="Q895" s="334"/>
      <c r="R895" s="334"/>
      <c r="S895" s="334"/>
    </row>
    <row r="896">
      <c r="A896" s="334"/>
      <c r="B896" s="334"/>
      <c r="C896" s="334"/>
      <c r="D896" s="334"/>
      <c r="E896" s="334"/>
      <c r="F896" s="334"/>
      <c r="G896" s="334"/>
      <c r="H896" s="334"/>
      <c r="I896" s="334"/>
      <c r="J896" s="334"/>
      <c r="K896" s="334"/>
      <c r="L896" s="334"/>
      <c r="M896" s="334"/>
      <c r="N896" s="334"/>
      <c r="O896" s="334"/>
      <c r="P896" s="334"/>
      <c r="Q896" s="334"/>
      <c r="R896" s="334"/>
      <c r="S896" s="334"/>
    </row>
    <row r="897">
      <c r="A897" s="334"/>
      <c r="B897" s="334"/>
      <c r="C897" s="334"/>
      <c r="D897" s="334"/>
      <c r="E897" s="334"/>
      <c r="F897" s="334"/>
      <c r="G897" s="334"/>
      <c r="H897" s="334"/>
      <c r="I897" s="334"/>
      <c r="J897" s="334"/>
      <c r="K897" s="334"/>
      <c r="L897" s="334"/>
      <c r="M897" s="334"/>
      <c r="N897" s="334"/>
      <c r="O897" s="334"/>
      <c r="P897" s="334"/>
      <c r="Q897" s="334"/>
      <c r="R897" s="334"/>
      <c r="S897" s="334"/>
    </row>
    <row r="898">
      <c r="A898" s="334"/>
      <c r="B898" s="334"/>
      <c r="C898" s="334"/>
      <c r="D898" s="334"/>
      <c r="E898" s="334"/>
      <c r="F898" s="334"/>
      <c r="G898" s="334"/>
      <c r="H898" s="334"/>
      <c r="I898" s="334"/>
      <c r="J898" s="334"/>
      <c r="K898" s="334"/>
      <c r="L898" s="334"/>
      <c r="M898" s="334"/>
      <c r="N898" s="334"/>
      <c r="O898" s="334"/>
      <c r="P898" s="334"/>
      <c r="Q898" s="334"/>
      <c r="R898" s="334"/>
      <c r="S898" s="334"/>
    </row>
    <row r="899">
      <c r="A899" s="334"/>
      <c r="B899" s="334"/>
      <c r="C899" s="334"/>
      <c r="D899" s="334"/>
      <c r="E899" s="334"/>
      <c r="F899" s="334"/>
      <c r="G899" s="334"/>
      <c r="H899" s="334"/>
      <c r="I899" s="334"/>
      <c r="J899" s="334"/>
      <c r="K899" s="334"/>
      <c r="L899" s="334"/>
      <c r="M899" s="334"/>
      <c r="N899" s="334"/>
      <c r="O899" s="334"/>
      <c r="P899" s="334"/>
      <c r="Q899" s="334"/>
      <c r="R899" s="334"/>
      <c r="S899" s="334"/>
    </row>
    <row r="900">
      <c r="A900" s="334"/>
      <c r="B900" s="334"/>
      <c r="C900" s="334"/>
      <c r="D900" s="334"/>
      <c r="E900" s="334"/>
      <c r="F900" s="334"/>
      <c r="G900" s="334"/>
      <c r="H900" s="334"/>
      <c r="I900" s="334"/>
      <c r="J900" s="334"/>
      <c r="K900" s="334"/>
      <c r="L900" s="334"/>
      <c r="M900" s="334"/>
      <c r="N900" s="334"/>
      <c r="O900" s="334"/>
      <c r="P900" s="334"/>
      <c r="Q900" s="334"/>
      <c r="R900" s="334"/>
      <c r="S900" s="334"/>
    </row>
    <row r="901">
      <c r="A901" s="334"/>
      <c r="B901" s="334"/>
      <c r="C901" s="334"/>
      <c r="D901" s="334"/>
      <c r="E901" s="334"/>
      <c r="F901" s="334"/>
      <c r="G901" s="334"/>
      <c r="H901" s="334"/>
      <c r="I901" s="334"/>
      <c r="J901" s="334"/>
      <c r="K901" s="334"/>
      <c r="L901" s="334"/>
      <c r="M901" s="334"/>
      <c r="N901" s="334"/>
      <c r="O901" s="334"/>
      <c r="P901" s="334"/>
      <c r="Q901" s="334"/>
      <c r="R901" s="334"/>
      <c r="S901" s="334"/>
    </row>
    <row r="902">
      <c r="A902" s="334"/>
      <c r="B902" s="334"/>
      <c r="C902" s="334"/>
      <c r="D902" s="334"/>
      <c r="E902" s="334"/>
      <c r="F902" s="334"/>
      <c r="G902" s="334"/>
      <c r="H902" s="334"/>
      <c r="I902" s="334"/>
      <c r="J902" s="334"/>
      <c r="K902" s="334"/>
      <c r="L902" s="334"/>
      <c r="M902" s="334"/>
      <c r="N902" s="334"/>
      <c r="O902" s="334"/>
      <c r="P902" s="334"/>
      <c r="Q902" s="334"/>
      <c r="R902" s="334"/>
      <c r="S902" s="334"/>
    </row>
    <row r="903">
      <c r="A903" s="334"/>
      <c r="B903" s="334"/>
      <c r="C903" s="334"/>
      <c r="D903" s="334"/>
      <c r="E903" s="334"/>
      <c r="F903" s="334"/>
      <c r="G903" s="334"/>
      <c r="H903" s="334"/>
      <c r="I903" s="334"/>
      <c r="J903" s="334"/>
      <c r="K903" s="334"/>
      <c r="L903" s="334"/>
      <c r="M903" s="334"/>
      <c r="N903" s="334"/>
      <c r="O903" s="334"/>
      <c r="P903" s="334"/>
      <c r="Q903" s="334"/>
      <c r="R903" s="334"/>
      <c r="S903" s="334"/>
    </row>
    <row r="904">
      <c r="A904" s="334"/>
      <c r="B904" s="334"/>
      <c r="C904" s="334"/>
      <c r="D904" s="334"/>
      <c r="E904" s="334"/>
      <c r="F904" s="334"/>
      <c r="G904" s="334"/>
      <c r="H904" s="334"/>
      <c r="I904" s="334"/>
      <c r="J904" s="334"/>
      <c r="K904" s="334"/>
      <c r="L904" s="334"/>
      <c r="M904" s="334"/>
      <c r="N904" s="334"/>
      <c r="O904" s="334"/>
      <c r="P904" s="334"/>
      <c r="Q904" s="334"/>
      <c r="R904" s="334"/>
      <c r="S904" s="334"/>
    </row>
    <row r="905">
      <c r="A905" s="334"/>
      <c r="B905" s="334"/>
      <c r="C905" s="334"/>
      <c r="D905" s="334"/>
      <c r="E905" s="334"/>
      <c r="F905" s="334"/>
      <c r="G905" s="334"/>
      <c r="H905" s="334"/>
      <c r="I905" s="334"/>
      <c r="J905" s="334"/>
      <c r="K905" s="334"/>
      <c r="L905" s="334"/>
      <c r="M905" s="334"/>
      <c r="N905" s="334"/>
      <c r="O905" s="334"/>
      <c r="P905" s="334"/>
      <c r="Q905" s="334"/>
      <c r="R905" s="334"/>
      <c r="S905" s="334"/>
    </row>
    <row r="906">
      <c r="A906" s="334"/>
      <c r="B906" s="334"/>
      <c r="C906" s="334"/>
      <c r="D906" s="334"/>
      <c r="E906" s="334"/>
      <c r="F906" s="334"/>
      <c r="G906" s="334"/>
      <c r="H906" s="334"/>
      <c r="I906" s="334"/>
      <c r="J906" s="334"/>
      <c r="K906" s="334"/>
      <c r="L906" s="334"/>
      <c r="M906" s="334"/>
      <c r="N906" s="334"/>
      <c r="O906" s="334"/>
      <c r="P906" s="334"/>
      <c r="Q906" s="334"/>
      <c r="R906" s="334"/>
      <c r="S906" s="334"/>
    </row>
    <row r="907">
      <c r="A907" s="334"/>
      <c r="B907" s="334"/>
      <c r="C907" s="334"/>
      <c r="D907" s="334"/>
      <c r="E907" s="334"/>
      <c r="F907" s="334"/>
      <c r="G907" s="334"/>
      <c r="H907" s="334"/>
      <c r="I907" s="334"/>
      <c r="J907" s="334"/>
      <c r="K907" s="334"/>
      <c r="L907" s="334"/>
      <c r="M907" s="334"/>
      <c r="N907" s="334"/>
      <c r="O907" s="334"/>
      <c r="P907" s="334"/>
      <c r="Q907" s="334"/>
      <c r="R907" s="334"/>
      <c r="S907" s="334"/>
    </row>
    <row r="908">
      <c r="A908" s="334"/>
      <c r="B908" s="334"/>
      <c r="C908" s="334"/>
      <c r="D908" s="334"/>
      <c r="E908" s="334"/>
      <c r="F908" s="334"/>
      <c r="G908" s="334"/>
      <c r="H908" s="334"/>
      <c r="I908" s="334"/>
      <c r="J908" s="334"/>
      <c r="K908" s="334"/>
      <c r="L908" s="334"/>
      <c r="M908" s="334"/>
      <c r="N908" s="334"/>
      <c r="O908" s="334"/>
      <c r="P908" s="334"/>
      <c r="Q908" s="334"/>
      <c r="R908" s="334"/>
      <c r="S908" s="334"/>
    </row>
    <row r="909">
      <c r="A909" s="334"/>
      <c r="B909" s="334"/>
      <c r="C909" s="334"/>
      <c r="D909" s="334"/>
      <c r="E909" s="334"/>
      <c r="F909" s="334"/>
      <c r="G909" s="334"/>
      <c r="H909" s="334"/>
      <c r="I909" s="334"/>
      <c r="J909" s="334"/>
      <c r="K909" s="334"/>
      <c r="L909" s="334"/>
      <c r="M909" s="334"/>
      <c r="N909" s="334"/>
      <c r="O909" s="334"/>
      <c r="P909" s="334"/>
      <c r="Q909" s="334"/>
      <c r="R909" s="334"/>
      <c r="S909" s="334"/>
    </row>
    <row r="910">
      <c r="A910" s="334"/>
      <c r="B910" s="334"/>
      <c r="C910" s="334"/>
      <c r="D910" s="334"/>
      <c r="E910" s="334"/>
      <c r="F910" s="334"/>
      <c r="G910" s="334"/>
      <c r="H910" s="334"/>
      <c r="I910" s="334"/>
      <c r="J910" s="334"/>
      <c r="K910" s="334"/>
      <c r="L910" s="334"/>
      <c r="M910" s="334"/>
      <c r="N910" s="334"/>
      <c r="O910" s="334"/>
      <c r="P910" s="334"/>
      <c r="Q910" s="334"/>
      <c r="R910" s="334"/>
      <c r="S910" s="334"/>
    </row>
    <row r="911">
      <c r="A911" s="334"/>
      <c r="B911" s="334"/>
      <c r="C911" s="334"/>
      <c r="D911" s="334"/>
      <c r="E911" s="334"/>
      <c r="F911" s="334"/>
      <c r="G911" s="334"/>
      <c r="H911" s="334"/>
      <c r="I911" s="334"/>
      <c r="J911" s="334"/>
      <c r="K911" s="334"/>
      <c r="L911" s="334"/>
      <c r="M911" s="334"/>
      <c r="N911" s="334"/>
      <c r="O911" s="334"/>
      <c r="P911" s="334"/>
      <c r="Q911" s="334"/>
      <c r="R911" s="334"/>
      <c r="S911" s="334"/>
    </row>
  </sheetData>
  <mergeCells count="20">
    <mergeCell ref="A1:F6"/>
    <mergeCell ref="A7:F7"/>
    <mergeCell ref="A8:F8"/>
    <mergeCell ref="A9:F9"/>
    <mergeCell ref="A14:F14"/>
    <mergeCell ref="A15:F15"/>
    <mergeCell ref="A21:F21"/>
    <mergeCell ref="A66:F66"/>
    <mergeCell ref="A67:F67"/>
    <mergeCell ref="A72:F72"/>
    <mergeCell ref="A81:F81"/>
    <mergeCell ref="A82:F82"/>
    <mergeCell ref="A86:F86"/>
    <mergeCell ref="A22:F22"/>
    <mergeCell ref="A30:F30"/>
    <mergeCell ref="A31:F31"/>
    <mergeCell ref="A40:F40"/>
    <mergeCell ref="A60:F60"/>
    <mergeCell ref="A61:F61"/>
    <mergeCell ref="A64:F64"/>
  </mergeCells>
  <conditionalFormatting sqref="F11:F12">
    <cfRule type="containsText" dxfId="3" priority="1" operator="containsText" text="Preenchimento de Formulários">
      <formula>NOT(ISERROR(SEARCH(("Preenchimento de Formulários"),(F11))))</formula>
    </cfRule>
  </conditionalFormatting>
  <conditionalFormatting sqref="F11:F12">
    <cfRule type="containsText" dxfId="4" priority="2" operator="containsText" text="Questionário Potencial">
      <formula>NOT(ISERROR(SEARCH(("Questionário Potencial"),(F11))))</formula>
    </cfRule>
  </conditionalFormatting>
  <conditionalFormatting sqref="F11:F12">
    <cfRule type="containsText" dxfId="5" priority="3" operator="containsText" text="Registro no INPI">
      <formula>NOT(ISERROR(SEARCH(("Registro no INPI"),(F11))))</formula>
    </cfRule>
  </conditionalFormatting>
  <conditionalFormatting sqref="F11:F12">
    <cfRule type="containsText" dxfId="6" priority="4" operator="containsText" text="Acompanhar Revista">
      <formula>NOT(ISERROR(SEARCH(("Acompanhar Revista"),(F11))))</formula>
    </cfRule>
  </conditionalFormatting>
  <conditionalFormatting sqref="F11:F12">
    <cfRule type="containsText" dxfId="7" priority="5" operator="containsText" text="Depósito no INPI">
      <formula>NOT(ISERROR(SEARCH(("Depósito no INPI"),(F11))))</formula>
    </cfRule>
  </conditionalFormatting>
  <conditionalFormatting sqref="F11:F12">
    <cfRule type="containsText" dxfId="8" priority="6" operator="containsText" text="Preenchimento dos Formulários">
      <formula>NOT(ISERROR(SEARCH(("Preenchimento dos Formulários"),(F11))))</formula>
    </cfRule>
  </conditionalFormatting>
  <conditionalFormatting sqref="F11:F12">
    <cfRule type="containsText" dxfId="9" priority="7" operator="containsText" text="Concluído">
      <formula>NOT(ISERROR(SEARCH(("Concluído"),(F11))))</formula>
    </cfRule>
  </conditionalFormatting>
  <conditionalFormatting sqref="F11:F12">
    <cfRule type="containsText" dxfId="10" priority="8" operator="containsText" text="Em Desenvolvimento">
      <formula>NOT(ISERROR(SEARCH(("Em Desenvolvimento"),(F11))))</formula>
    </cfRule>
  </conditionalFormatting>
  <conditionalFormatting sqref="F11:F12">
    <cfRule type="containsText" dxfId="11" priority="9" operator="containsText" text="Questionário Potencial">
      <formula>NOT(ISERROR(SEARCH(("Questionário Potencial"),(F11))))</formula>
    </cfRule>
  </conditionalFormatting>
  <conditionalFormatting sqref="F11:F12">
    <cfRule type="containsText" dxfId="12" priority="10" operator="containsText" text="Busca de Anterioridade">
      <formula>NOT(ISERROR(SEARCH(("Busca de Anterioridade"),(F11))))</formula>
    </cfRule>
  </conditionalFormatting>
  <conditionalFormatting sqref="F11:F12">
    <cfRule type="containsText" dxfId="3" priority="11" operator="containsText" text="Preenchimento de Formulários">
      <formula>NOT(ISERROR(SEARCH(("Preenchimento de Formulários"),(F11))))</formula>
    </cfRule>
  </conditionalFormatting>
  <conditionalFormatting sqref="F11:F12">
    <cfRule type="containsText" dxfId="4" priority="12" operator="containsText" text="Questionário Potencial">
      <formula>NOT(ISERROR(SEARCH(("Questionário Potencial"),(F11))))</formula>
    </cfRule>
  </conditionalFormatting>
  <conditionalFormatting sqref="F11:F12">
    <cfRule type="containsText" dxfId="5" priority="13" operator="containsText" text="Registro no INPI">
      <formula>NOT(ISERROR(SEARCH(("Registro no INPI"),(F11))))</formula>
    </cfRule>
  </conditionalFormatting>
  <conditionalFormatting sqref="F11:F12">
    <cfRule type="containsText" dxfId="6" priority="14" operator="containsText" text="Acompanhar Revista">
      <formula>NOT(ISERROR(SEARCH(("Acompanhar Revista"),(F11))))</formula>
    </cfRule>
  </conditionalFormatting>
  <conditionalFormatting sqref="F11:F12">
    <cfRule type="containsText" dxfId="7" priority="15" operator="containsText" text="Depósito no INPI">
      <formula>NOT(ISERROR(SEARCH(("Depósito no INPI"),(F11))))</formula>
    </cfRule>
  </conditionalFormatting>
  <conditionalFormatting sqref="F11:F12">
    <cfRule type="containsText" dxfId="8" priority="16" operator="containsText" text="Preenchimento dos Formulários">
      <formula>NOT(ISERROR(SEARCH(("Preenchimento dos Formulários"),(F11))))</formula>
    </cfRule>
  </conditionalFormatting>
  <conditionalFormatting sqref="F11:F12">
    <cfRule type="containsText" dxfId="9" priority="17" operator="containsText" text="Concluído">
      <formula>NOT(ISERROR(SEARCH(("Concluído"),(F11))))</formula>
    </cfRule>
  </conditionalFormatting>
  <conditionalFormatting sqref="F11:F12">
    <cfRule type="containsText" dxfId="10" priority="18" operator="containsText" text="Em Desenvolvimento">
      <formula>NOT(ISERROR(SEARCH(("Em Desenvolvimento"),(F11))))</formula>
    </cfRule>
  </conditionalFormatting>
  <conditionalFormatting sqref="F11:F12">
    <cfRule type="containsText" dxfId="11" priority="19" operator="containsText" text="Questionário Potencial">
      <formula>NOT(ISERROR(SEARCH(("Questionário Potencial"),(F11))))</formula>
    </cfRule>
  </conditionalFormatting>
  <conditionalFormatting sqref="F11:F12">
    <cfRule type="containsText" dxfId="12" priority="20" operator="containsText" text="Busca de Anterioridade">
      <formula>NOT(ISERROR(SEARCH(("Busca de Anterioridade"),(F11))))</formula>
    </cfRule>
  </conditionalFormatting>
  <conditionalFormatting sqref="F11:F12">
    <cfRule type="containsText" dxfId="3" priority="21" operator="containsText" text="Preenchimento de Formulários">
      <formula>NOT(ISERROR(SEARCH(("Preenchimento de Formulários"),(F11))))</formula>
    </cfRule>
  </conditionalFormatting>
  <conditionalFormatting sqref="F11:F12">
    <cfRule type="containsText" dxfId="4" priority="22" operator="containsText" text="Questionário Potencial">
      <formula>NOT(ISERROR(SEARCH(("Questionário Potencial"),(F11))))</formula>
    </cfRule>
  </conditionalFormatting>
  <conditionalFormatting sqref="F11:F12">
    <cfRule type="containsText" dxfId="5" priority="23" operator="containsText" text="Registro no INPI">
      <formula>NOT(ISERROR(SEARCH(("Registro no INPI"),(F11))))</formula>
    </cfRule>
  </conditionalFormatting>
  <conditionalFormatting sqref="F11:F12">
    <cfRule type="containsText" dxfId="6" priority="24" operator="containsText" text="Acompanhar Revista">
      <formula>NOT(ISERROR(SEARCH(("Acompanhar Revista"),(F11))))</formula>
    </cfRule>
  </conditionalFormatting>
  <conditionalFormatting sqref="F11:F12">
    <cfRule type="containsText" dxfId="7" priority="25" operator="containsText" text="Depósito no INPI">
      <formula>NOT(ISERROR(SEARCH(("Depósito no INPI"),(F11))))</formula>
    </cfRule>
  </conditionalFormatting>
  <conditionalFormatting sqref="F11:F12">
    <cfRule type="containsText" dxfId="8" priority="26" operator="containsText" text="Preenchimento dos Formulários">
      <formula>NOT(ISERROR(SEARCH(("Preenchimento dos Formulários"),(F11))))</formula>
    </cfRule>
  </conditionalFormatting>
  <conditionalFormatting sqref="F11:F12">
    <cfRule type="containsText" dxfId="9" priority="27" operator="containsText" text="Concluído">
      <formula>NOT(ISERROR(SEARCH(("Concluído"),(F11))))</formula>
    </cfRule>
  </conditionalFormatting>
  <conditionalFormatting sqref="F11:F12">
    <cfRule type="containsText" dxfId="10" priority="28" operator="containsText" text="Em Desenvolvimento">
      <formula>NOT(ISERROR(SEARCH(("Em Desenvolvimento"),(F11))))</formula>
    </cfRule>
  </conditionalFormatting>
  <conditionalFormatting sqref="F11:F12">
    <cfRule type="containsText" dxfId="11" priority="29" operator="containsText" text="Questionário Potencial">
      <formula>NOT(ISERROR(SEARCH(("Questionário Potencial"),(F11))))</formula>
    </cfRule>
  </conditionalFormatting>
  <conditionalFormatting sqref="F11:F12">
    <cfRule type="containsText" dxfId="12" priority="30" operator="containsText" text="Busca de Anterioridade">
      <formula>NOT(ISERROR(SEARCH(("Busca de Anterioridade"),(F11))))</formula>
    </cfRule>
  </conditionalFormatting>
  <conditionalFormatting sqref="F11:F12">
    <cfRule type="containsText" dxfId="3" priority="31" operator="containsText" text="Preenchimento de Formulários">
      <formula>NOT(ISERROR(SEARCH(("Preenchimento de Formulários"),(F11))))</formula>
    </cfRule>
  </conditionalFormatting>
  <conditionalFormatting sqref="F11:F12">
    <cfRule type="containsText" dxfId="4" priority="32" operator="containsText" text="Questionário Potencial">
      <formula>NOT(ISERROR(SEARCH(("Questionário Potencial"),(F11))))</formula>
    </cfRule>
  </conditionalFormatting>
  <conditionalFormatting sqref="F11:F12">
    <cfRule type="containsText" dxfId="5" priority="33" operator="containsText" text="Registro no INPI">
      <formula>NOT(ISERROR(SEARCH(("Registro no INPI"),(F11))))</formula>
    </cfRule>
  </conditionalFormatting>
  <conditionalFormatting sqref="F11:F12">
    <cfRule type="containsText" dxfId="6" priority="34" operator="containsText" text="Acompanhar Revista">
      <formula>NOT(ISERROR(SEARCH(("Acompanhar Revista"),(F11))))</formula>
    </cfRule>
  </conditionalFormatting>
  <conditionalFormatting sqref="F11:F12">
    <cfRule type="containsText" dxfId="7" priority="35" operator="containsText" text="Depósito no INPI">
      <formula>NOT(ISERROR(SEARCH(("Depósito no INPI"),(F11))))</formula>
    </cfRule>
  </conditionalFormatting>
  <conditionalFormatting sqref="F11:F12">
    <cfRule type="containsText" dxfId="8" priority="36" operator="containsText" text="Preenchimento dos Formulários">
      <formula>NOT(ISERROR(SEARCH(("Preenchimento dos Formulários"),(F11))))</formula>
    </cfRule>
  </conditionalFormatting>
  <conditionalFormatting sqref="F11:F12">
    <cfRule type="containsText" dxfId="9" priority="37" operator="containsText" text="Concluído">
      <formula>NOT(ISERROR(SEARCH(("Concluído"),(F11))))</formula>
    </cfRule>
  </conditionalFormatting>
  <conditionalFormatting sqref="F11:F12">
    <cfRule type="containsText" dxfId="10" priority="38" operator="containsText" text="Em Desenvolvimento">
      <formula>NOT(ISERROR(SEARCH(("Em Desenvolvimento"),(F11))))</formula>
    </cfRule>
  </conditionalFormatting>
  <conditionalFormatting sqref="F11:F12">
    <cfRule type="containsText" dxfId="11" priority="39" operator="containsText" text="Questionário Potencial">
      <formula>NOT(ISERROR(SEARCH(("Questionário Potencial"),(F11))))</formula>
    </cfRule>
  </conditionalFormatting>
  <conditionalFormatting sqref="F11:F12">
    <cfRule type="containsText" dxfId="12" priority="40" operator="containsText" text="Busca de Anterioridade">
      <formula>NOT(ISERROR(SEARCH(("Busca de Anterioridade"),(F11))))</formula>
    </cfRule>
  </conditionalFormatting>
  <dataValidations>
    <dataValidation type="list" allowBlank="1" showErrorMessage="1" sqref="F11:F12">
      <formula1>Softwares!$C$69:$C$76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rowBreaks count="1" manualBreakCount="1">
    <brk id="79" man="1"/>
  </rowBreaks>
  <colBreaks count="2" manualBreakCount="2">
    <brk man="1"/>
    <brk id="6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29"/>
    <col customWidth="1" min="3" max="3" width="15.57"/>
    <col customWidth="1" min="6" max="7" width="27.29"/>
    <col customWidth="1" min="12" max="12" width="20.71"/>
  </cols>
  <sheetData>
    <row r="2">
      <c r="A2" s="387" t="s">
        <v>835</v>
      </c>
      <c r="B2" s="387" t="s">
        <v>838</v>
      </c>
      <c r="C2" s="387" t="s">
        <v>839</v>
      </c>
    </row>
    <row r="3">
      <c r="A3" s="387">
        <v>2016.0</v>
      </c>
      <c r="B3" s="387">
        <v>0.0</v>
      </c>
      <c r="C3" s="387">
        <v>2.0</v>
      </c>
    </row>
    <row r="4">
      <c r="A4" s="387">
        <v>2017.0</v>
      </c>
      <c r="B4" s="387">
        <v>0.0</v>
      </c>
      <c r="C4" s="387">
        <v>3.0</v>
      </c>
    </row>
    <row r="5">
      <c r="A5" s="387"/>
      <c r="B5" s="387"/>
      <c r="C5" s="387"/>
    </row>
    <row r="6">
      <c r="A6" s="387">
        <v>2019.0</v>
      </c>
      <c r="B6" s="387">
        <v>6.0</v>
      </c>
      <c r="C6" s="387">
        <v>24.0</v>
      </c>
    </row>
    <row r="7">
      <c r="A7" s="387">
        <v>2020.0</v>
      </c>
      <c r="B7" s="387">
        <v>2.0</v>
      </c>
      <c r="C7" s="387">
        <v>9.0</v>
      </c>
      <c r="L7" s="390"/>
    </row>
    <row r="8">
      <c r="A8" s="387">
        <v>2021.0</v>
      </c>
      <c r="B8" s="387">
        <v>3.0</v>
      </c>
      <c r="C8" s="387">
        <v>0.0</v>
      </c>
    </row>
    <row r="21">
      <c r="L21" s="391"/>
      <c r="M21" s="392" t="s">
        <v>844</v>
      </c>
      <c r="N21" s="392" t="s">
        <v>845</v>
      </c>
    </row>
    <row r="22">
      <c r="L22" s="392" t="s">
        <v>9</v>
      </c>
      <c r="M22" s="392">
        <v>3.0</v>
      </c>
      <c r="N22" s="392">
        <v>28.0</v>
      </c>
    </row>
    <row r="23">
      <c r="A23" s="393" t="s">
        <v>39</v>
      </c>
      <c r="B23" s="393" t="s">
        <v>849</v>
      </c>
      <c r="C23" s="393" t="s">
        <v>850</v>
      </c>
      <c r="D23" s="393" t="s">
        <v>8</v>
      </c>
      <c r="L23" s="392" t="s">
        <v>5</v>
      </c>
      <c r="M23" s="392">
        <v>7.0</v>
      </c>
      <c r="N23" s="392">
        <v>0.0</v>
      </c>
    </row>
    <row r="24">
      <c r="A24" s="393">
        <v>2016.0</v>
      </c>
      <c r="B24" s="393" t="s">
        <v>9</v>
      </c>
      <c r="C24" s="393">
        <v>0.0</v>
      </c>
      <c r="D24" s="393">
        <v>2.0</v>
      </c>
      <c r="L24" s="392" t="s">
        <v>10</v>
      </c>
      <c r="M24" s="392">
        <v>1.0</v>
      </c>
      <c r="N24" s="392">
        <v>10.0</v>
      </c>
    </row>
    <row r="25">
      <c r="A25" s="393">
        <v>2017.0</v>
      </c>
      <c r="B25" s="393" t="s">
        <v>9</v>
      </c>
      <c r="C25" s="393">
        <v>0.0</v>
      </c>
      <c r="D25" s="393">
        <v>3.0</v>
      </c>
    </row>
    <row r="26">
      <c r="A26" s="396">
        <v>2019.0</v>
      </c>
      <c r="B26" s="393" t="s">
        <v>9</v>
      </c>
      <c r="C26" s="393">
        <v>0.0</v>
      </c>
      <c r="D26" s="393">
        <v>9.0</v>
      </c>
    </row>
    <row r="27">
      <c r="A27" s="104"/>
      <c r="B27" s="393" t="s">
        <v>5</v>
      </c>
      <c r="C27" s="393">
        <v>1.0</v>
      </c>
      <c r="D27" s="393">
        <v>0.0</v>
      </c>
    </row>
    <row r="28">
      <c r="A28" s="22"/>
      <c r="B28" s="393" t="s">
        <v>10</v>
      </c>
      <c r="C28" s="393">
        <v>0.0</v>
      </c>
      <c r="D28" s="393">
        <v>7.0</v>
      </c>
      <c r="F28" s="387" t="s">
        <v>845</v>
      </c>
      <c r="G28" s="387">
        <v>2016.0</v>
      </c>
      <c r="H28" s="387">
        <v>2017.0</v>
      </c>
      <c r="I28" s="387">
        <v>2019.0</v>
      </c>
      <c r="J28" s="387">
        <v>2020.0</v>
      </c>
      <c r="K28" s="387"/>
    </row>
    <row r="29">
      <c r="A29" s="396">
        <v>2020.0</v>
      </c>
      <c r="B29" s="393" t="s">
        <v>9</v>
      </c>
      <c r="C29" s="393">
        <v>0.0</v>
      </c>
      <c r="D29" s="393">
        <v>2.0</v>
      </c>
      <c r="F29" s="387" t="s">
        <v>9</v>
      </c>
      <c r="G29" s="398">
        <f>D24</f>
        <v>2</v>
      </c>
      <c r="H29" s="398">
        <f>D25</f>
        <v>3</v>
      </c>
      <c r="I29" s="398">
        <f>D26+D47+D51</f>
        <v>17</v>
      </c>
      <c r="J29" s="398">
        <f>D29+D37+D52</f>
        <v>6</v>
      </c>
      <c r="K29" s="387"/>
    </row>
    <row r="30">
      <c r="A30" s="22"/>
      <c r="B30" s="393" t="s">
        <v>10</v>
      </c>
      <c r="C30" s="393">
        <v>1.0</v>
      </c>
      <c r="D30" s="393">
        <v>3.0</v>
      </c>
      <c r="F30" s="387" t="s">
        <v>10</v>
      </c>
      <c r="G30" s="387">
        <v>0.0</v>
      </c>
      <c r="H30" s="387">
        <v>0.0</v>
      </c>
      <c r="I30" s="398">
        <f>D28</f>
        <v>7</v>
      </c>
      <c r="J30" s="398">
        <f>D30</f>
        <v>3</v>
      </c>
      <c r="K30" s="387"/>
    </row>
    <row r="31">
      <c r="F31" s="387" t="s">
        <v>867</v>
      </c>
      <c r="G31" s="387"/>
      <c r="H31" s="387"/>
      <c r="I31" s="387"/>
      <c r="J31" s="387"/>
      <c r="K31" s="387"/>
    </row>
    <row r="32">
      <c r="A32" s="392" t="s">
        <v>209</v>
      </c>
      <c r="B32" s="392" t="s">
        <v>849</v>
      </c>
      <c r="C32" s="392" t="s">
        <v>850</v>
      </c>
      <c r="D32" s="392" t="s">
        <v>8</v>
      </c>
    </row>
    <row r="33">
      <c r="A33" s="392">
        <v>2019.0</v>
      </c>
      <c r="B33" s="392" t="s">
        <v>5</v>
      </c>
      <c r="C33" s="392">
        <v>2.0</v>
      </c>
      <c r="D33" s="392">
        <v>0.0</v>
      </c>
    </row>
    <row r="35">
      <c r="A35" s="392" t="s">
        <v>475</v>
      </c>
      <c r="B35" s="392" t="s">
        <v>849</v>
      </c>
      <c r="C35" s="392" t="s">
        <v>850</v>
      </c>
      <c r="D35" s="392" t="s">
        <v>8</v>
      </c>
    </row>
    <row r="36">
      <c r="A36" s="392">
        <v>2019.0</v>
      </c>
      <c r="B36" s="392" t="s">
        <v>5</v>
      </c>
      <c r="C36" s="392">
        <v>1.0</v>
      </c>
      <c r="D36" s="392">
        <v>0.0</v>
      </c>
    </row>
    <row r="37">
      <c r="A37" s="392">
        <v>2020.0</v>
      </c>
      <c r="B37" s="392" t="s">
        <v>9</v>
      </c>
      <c r="C37" s="392">
        <v>0.0</v>
      </c>
      <c r="D37" s="392">
        <v>3.0</v>
      </c>
    </row>
    <row r="39">
      <c r="A39" s="392" t="s">
        <v>525</v>
      </c>
      <c r="B39" s="392" t="s">
        <v>849</v>
      </c>
      <c r="C39" s="392" t="s">
        <v>850</v>
      </c>
      <c r="D39" s="392" t="s">
        <v>8</v>
      </c>
    </row>
    <row r="40">
      <c r="A40" s="392">
        <v>2019.0</v>
      </c>
      <c r="B40" s="392" t="s">
        <v>5</v>
      </c>
      <c r="C40" s="392">
        <v>1.0</v>
      </c>
      <c r="D40" s="392">
        <v>0.0</v>
      </c>
    </row>
    <row r="42">
      <c r="A42" s="392" t="s">
        <v>142</v>
      </c>
      <c r="B42" s="392" t="s">
        <v>849</v>
      </c>
      <c r="C42" s="392" t="s">
        <v>850</v>
      </c>
      <c r="D42" s="392" t="s">
        <v>8</v>
      </c>
    </row>
    <row r="43">
      <c r="A43" s="392">
        <v>2019.0</v>
      </c>
      <c r="B43" s="392" t="s">
        <v>5</v>
      </c>
      <c r="C43" s="392">
        <v>1.0</v>
      </c>
      <c r="D43" s="392">
        <v>0.0</v>
      </c>
    </row>
    <row r="44">
      <c r="A44" s="392">
        <v>2021.0</v>
      </c>
      <c r="B44" s="392" t="s">
        <v>9</v>
      </c>
      <c r="C44" s="392">
        <v>2.0</v>
      </c>
      <c r="D44" s="392">
        <v>0.0</v>
      </c>
    </row>
    <row r="46">
      <c r="A46" s="392" t="s">
        <v>296</v>
      </c>
      <c r="B46" s="392" t="s">
        <v>849</v>
      </c>
      <c r="C46" s="392" t="s">
        <v>850</v>
      </c>
      <c r="D46" s="392" t="s">
        <v>8</v>
      </c>
    </row>
    <row r="47">
      <c r="A47" s="392">
        <v>2019.0</v>
      </c>
      <c r="B47" s="392" t="s">
        <v>9</v>
      </c>
      <c r="C47" s="392">
        <v>0.0</v>
      </c>
      <c r="D47" s="392">
        <v>4.0</v>
      </c>
    </row>
    <row r="48">
      <c r="A48" s="392">
        <v>2020.0</v>
      </c>
      <c r="B48" s="392" t="s">
        <v>5</v>
      </c>
      <c r="C48" s="392">
        <v>1.0</v>
      </c>
      <c r="D48" s="392">
        <v>0.0</v>
      </c>
    </row>
    <row r="50">
      <c r="A50" s="392" t="s">
        <v>737</v>
      </c>
      <c r="B50" s="392" t="s">
        <v>849</v>
      </c>
      <c r="C50" s="392" t="s">
        <v>850</v>
      </c>
      <c r="D50" s="392" t="s">
        <v>8</v>
      </c>
    </row>
    <row r="51">
      <c r="A51" s="392">
        <v>2019.0</v>
      </c>
      <c r="B51" s="392" t="s">
        <v>9</v>
      </c>
      <c r="C51" s="392">
        <v>0.0</v>
      </c>
      <c r="D51" s="392">
        <v>4.0</v>
      </c>
    </row>
    <row r="52">
      <c r="A52" s="392">
        <v>2020.0</v>
      </c>
      <c r="B52" s="392" t="s">
        <v>9</v>
      </c>
      <c r="C52" s="392">
        <v>0.0</v>
      </c>
      <c r="D52" s="392">
        <v>1.0</v>
      </c>
    </row>
    <row r="54">
      <c r="A54" s="392" t="s">
        <v>720</v>
      </c>
      <c r="B54" s="392" t="s">
        <v>849</v>
      </c>
      <c r="C54" s="392" t="s">
        <v>850</v>
      </c>
      <c r="D54" s="392" t="s">
        <v>8</v>
      </c>
    </row>
    <row r="55">
      <c r="A55" s="392">
        <v>2021.0</v>
      </c>
      <c r="B55" s="392" t="s">
        <v>9</v>
      </c>
      <c r="C55" s="392">
        <v>1.0</v>
      </c>
      <c r="D55" s="392">
        <v>0.0</v>
      </c>
    </row>
  </sheetData>
  <mergeCells count="2">
    <mergeCell ref="A26:A28"/>
    <mergeCell ref="A29:A30"/>
  </mergeCells>
  <drawing r:id="rId1"/>
</worksheet>
</file>